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codeName="ThisWorkbook" defaultThemeVersion="166925"/>
  <mc:AlternateContent xmlns:mc="http://schemas.openxmlformats.org/markup-compatibility/2006">
    <mc:Choice Requires="x15">
      <x15ac:absPath xmlns:x15ac="http://schemas.microsoft.com/office/spreadsheetml/2010/11/ac" url="C:\Users\markk\Downloads\"/>
    </mc:Choice>
  </mc:AlternateContent>
  <xr:revisionPtr revIDLastSave="0" documentId="8_{DDCB0405-0270-45E9-BF59-BF8F06B0F7F0}" xr6:coauthVersionLast="47" xr6:coauthVersionMax="47" xr10:uidLastSave="{00000000-0000-0000-0000-000000000000}"/>
  <bookViews>
    <workbookView xWindow="-110" yWindow="-110" windowWidth="25820" windowHeight="15500" firstSheet="2" activeTab="2" xr2:uid="{00000000-000D-0000-FFFF-FFFF00000000}"/>
  </bookViews>
  <sheets>
    <sheet name="Uitleg" sheetId="2" r:id="rId1"/>
    <sheet name="Dashboard" sheetId="3" r:id="rId2"/>
    <sheet name="Projectplanning" sheetId="6" r:id="rId3"/>
    <sheet name="Burndown sprint" sheetId="7" r:id="rId4"/>
  </sheets>
  <definedNames>
    <definedName name="dagen_sprint1">'Burndown sprint'!$A$3:$A$13</definedName>
    <definedName name="dagen_sprint2">'Burndown sprint'!$A$52:$A$62</definedName>
    <definedName name="dagen_sprint3">'Burndown sprint'!$A$99:$A$109</definedName>
    <definedName name="planning">Projectplanning!$A$3:$H$287</definedName>
    <definedName name="punten_sprint1" localSheetId="2">Dashboard!$J$4</definedName>
    <definedName name="punten_sprint2">Dashboard!$J$5</definedName>
    <definedName name="punten_sprint3">Dashboard!$J$6</definedName>
    <definedName name="sprint_2weken">#REF!</definedName>
    <definedName name="sprint_3weken">#REF!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 i="7" l="1"/>
  <c r="I98" i="7" s="1"/>
  <c r="H2" i="7"/>
  <c r="H51" i="7" s="1"/>
  <c r="G2" i="7"/>
  <c r="G51" i="7" s="1"/>
  <c r="F2" i="7"/>
  <c r="F51" i="7" s="1"/>
  <c r="E2" i="7"/>
  <c r="E51" i="7" s="1"/>
  <c r="D2" i="7"/>
  <c r="D51" i="7" s="1"/>
  <c r="C2" i="7"/>
  <c r="C51" i="7" s="1"/>
  <c r="J4" i="3"/>
  <c r="G3" i="7" s="1"/>
  <c r="H1" i="6"/>
  <c r="C1" i="6"/>
  <c r="I51" i="7" l="1"/>
  <c r="C98" i="7"/>
  <c r="D98" i="7"/>
  <c r="E98" i="7"/>
  <c r="F98" i="7"/>
  <c r="G98" i="7"/>
  <c r="H98" i="7"/>
  <c r="C3" i="7"/>
  <c r="B3" i="7"/>
  <c r="D3" i="7"/>
  <c r="H3" i="7"/>
  <c r="I3" i="7"/>
  <c r="E3" i="7"/>
  <c r="F3" i="7"/>
  <c r="F1" i="6"/>
  <c r="M4" i="3" l="1"/>
  <c r="J5" i="3" l="1"/>
  <c r="J6" i="3"/>
  <c r="I99" i="7" l="1"/>
  <c r="H99" i="7"/>
  <c r="G99" i="7"/>
  <c r="F99" i="7"/>
  <c r="E99" i="7"/>
  <c r="D99" i="7"/>
  <c r="C99" i="7"/>
  <c r="M6" i="3"/>
  <c r="B99" i="7"/>
  <c r="M5" i="3"/>
  <c r="H52" i="7"/>
  <c r="G52" i="7"/>
  <c r="F52" i="7"/>
  <c r="E52" i="7"/>
  <c r="D52" i="7"/>
  <c r="C52" i="7"/>
  <c r="B52" i="7"/>
  <c r="I52" i="7"/>
  <c r="J9" i="3"/>
  <c r="K4" i="3" s="1"/>
  <c r="K5" i="3" l="1"/>
  <c r="K6" i="3"/>
  <c r="K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 Kokken</author>
  </authors>
  <commentList>
    <comment ref="E2" authorId="0" shapeId="0" xr:uid="{3EC903A8-20BE-4BB3-8DA1-9F45D1ADFA29}">
      <text>
        <r>
          <rPr>
            <b/>
            <sz val="9"/>
            <color indexed="81"/>
            <rFont val="Tahoma"/>
            <family val="2"/>
          </rPr>
          <t>Stefan Kokken:</t>
        </r>
        <r>
          <rPr>
            <sz val="9"/>
            <color indexed="81"/>
            <rFont val="Tahoma"/>
            <family val="2"/>
          </rPr>
          <t xml:space="preserve">
Wie is/wordt verantwoordelijk voor deze userstory?
Allemaal of een specifiek teamlid?
Deze kolom is optioneel.</t>
        </r>
      </text>
    </comment>
    <comment ref="F2" authorId="0" shapeId="0" xr:uid="{3A507CCE-3853-4F22-9E87-CE8FA2A4FD75}">
      <text>
        <r>
          <rPr>
            <b/>
            <sz val="9"/>
            <color indexed="81"/>
            <rFont val="Tahoma"/>
            <family val="2"/>
          </rPr>
          <t>Stefan Kokken:</t>
        </r>
        <r>
          <rPr>
            <sz val="9"/>
            <color indexed="81"/>
            <rFont val="Tahoma"/>
            <family val="2"/>
          </rPr>
          <t xml:space="preserve">
Hoeveel tijd heeft deze userstory gekost?
Dit kan je achteraf inzicht geven of je de punten goed hebt ingeschat.
Deze kolom is optioneel.</t>
        </r>
      </text>
    </comment>
    <comment ref="G2" authorId="0" shapeId="0" xr:uid="{EFA04E4E-037F-462B-BB6E-41CFDA368990}">
      <text>
        <r>
          <rPr>
            <b/>
            <sz val="9"/>
            <color indexed="81"/>
            <rFont val="Tahoma"/>
            <family val="2"/>
          </rPr>
          <t>Stefan Kokken:</t>
        </r>
        <r>
          <rPr>
            <sz val="9"/>
            <color indexed="81"/>
            <rFont val="Tahoma"/>
            <family val="2"/>
          </rPr>
          <t xml:space="preserve">
Noteer hier alle bijzonderheden t.a.v. deze userstory</t>
        </r>
      </text>
    </comment>
    <comment ref="H2" authorId="0" shapeId="0" xr:uid="{7BA1B6B6-353E-4838-B536-FB9FDFA5648E}">
      <text>
        <r>
          <rPr>
            <b/>
            <sz val="9"/>
            <color indexed="81"/>
            <rFont val="Tahoma"/>
            <family val="2"/>
          </rPr>
          <t>Stefan Kokken:</t>
        </r>
        <r>
          <rPr>
            <sz val="9"/>
            <color indexed="81"/>
            <rFont val="Tahoma"/>
            <family val="2"/>
          </rPr>
          <t xml:space="preserve">
Vink af als de userstory gereed is</t>
        </r>
      </text>
    </comment>
  </commentList>
</comments>
</file>

<file path=xl/sharedStrings.xml><?xml version="1.0" encoding="utf-8"?>
<sst xmlns="http://schemas.openxmlformats.org/spreadsheetml/2006/main" count="142" uniqueCount="82">
  <si>
    <t>Projectplanning (versie 1.7)</t>
  </si>
  <si>
    <r>
      <t xml:space="preserve">Gebruik dit document om een projectplanning op te stellen.  Tijdens de </t>
    </r>
    <r>
      <rPr>
        <b/>
        <sz val="14"/>
        <color rgb="FF000000"/>
        <rFont val="Calibri"/>
        <family val="2"/>
        <scheme val="minor"/>
      </rPr>
      <t>Pitch</t>
    </r>
    <r>
      <rPr>
        <sz val="14"/>
        <color rgb="FF000000"/>
        <rFont val="Calibri"/>
        <family val="2"/>
        <scheme val="minor"/>
      </rPr>
      <t xml:space="preserve"> presenteer je deze projectplanning en licht je deze toe.</t>
    </r>
  </si>
  <si>
    <t>Het invullen geeft inzicht in de hoeveelheid tijd die wordt besteed om een bepaalde taak uit te voeren. Het geeft ook goed inzicht in de werkdruk per sprint.</t>
  </si>
  <si>
    <r>
      <t xml:space="preserve">Vul eerst op het tabblad </t>
    </r>
    <r>
      <rPr>
        <b/>
        <sz val="14"/>
        <color rgb="FF000000"/>
        <rFont val="Calibri"/>
        <family val="2"/>
        <scheme val="minor"/>
      </rPr>
      <t>Dashboard</t>
    </r>
    <r>
      <rPr>
        <sz val="14"/>
        <color rgb="FF000000"/>
        <rFont val="Calibri"/>
        <family val="2"/>
        <scheme val="minor"/>
      </rPr>
      <t xml:space="preserve"> de namen van de groepsleden en studentnummers in. </t>
    </r>
  </si>
  <si>
    <t>Vul bij de "duur" van de sprints het aantal dagen in dat beschikbaar is per sprint (b.v. vanwege een feestdag kan een week maar 4 werkdagen bevatten). 
Kijk daarvoor op de sprintjaarplanning.</t>
  </si>
  <si>
    <t>Noteer per scrumtaak alle activiteiten op het tabblad projectplanning.</t>
  </si>
  <si>
    <t>Doe dit volgens de afgesproken methodiek. (als ….[rol] wil ik ….[actie] Zodat, ……[resultaat] )</t>
  </si>
  <si>
    <t>Begin de activiteit altijd met het scrumtaaknummer. Bijvoorbeeld L1-1 …....  Dit is nodig voor het overzicht en de filtering op scrumtaak.</t>
  </si>
  <si>
    <t>Nadat alle activiteiten zijn genoteerd bepaal je de waarde van elke ativiteit d.m.v. planning poker. Noteer dit in de kolom "punten".</t>
  </si>
  <si>
    <t>Splits grotere activiteiten (13 punten of meer) op in kleinere deel-activiteiten.</t>
  </si>
  <si>
    <r>
      <t>Bepaal wat je in welke sprint gaat uitvoeren. Noteer die in de kolom "</t>
    </r>
    <r>
      <rPr>
        <i/>
        <sz val="14"/>
        <color theme="1"/>
        <rFont val="Calibri"/>
        <family val="2"/>
        <scheme val="minor"/>
      </rPr>
      <t>Sprint"</t>
    </r>
  </si>
  <si>
    <t xml:space="preserve">Let erop dat je in elke sprint tenminste iets oplevert van elke scrumtaak.  </t>
  </si>
  <si>
    <t xml:space="preserve">Noteer voor individuele scumtaken in de kolom wie--&gt; allemaal </t>
  </si>
  <si>
    <t>Bij een groepstaak of een persoonlijke taak vul je de naam van één van de groepsleden in. Diegene zal deze taak uitvoeren.</t>
  </si>
  <si>
    <r>
      <t xml:space="preserve">Op het tabblad </t>
    </r>
    <r>
      <rPr>
        <b/>
        <sz val="14"/>
        <color rgb="FF000000"/>
        <rFont val="Calibri"/>
        <family val="2"/>
        <scheme val="minor"/>
      </rPr>
      <t xml:space="preserve">Dashboard </t>
    </r>
    <r>
      <rPr>
        <sz val="14"/>
        <color rgb="FF000000"/>
        <rFont val="Calibri"/>
        <family val="2"/>
        <scheme val="minor"/>
      </rPr>
      <t>kun je controleren of de verdeling evenredig is met het aantal beschikbare dagen.</t>
    </r>
  </si>
  <si>
    <t>Tevens kun je hier zien hoeveel puten je per dag moet wegwerken om op schema te blijven.</t>
  </si>
  <si>
    <t>Onderstaande kolommen zijn optioneel. Deze hoeven niet ingevuld te zijn bij de Pitch, maar zijn wel handig om meer inzicht te verkrijgen.</t>
  </si>
  <si>
    <t>*  De kolom "wie" kun je gebruiken wanneer er veel individuele taken zijn binnen de groep. Bijvoorbeeld bij het inhalen van achterstanden of om te zien of alle taken wel eerlijk verdeeld zijn.</t>
  </si>
  <si>
    <t>*  De kolom "Duur" kun je gebruiken om achteraf inzicht te krijgen of het aantal ingeschatte punten overeen komt met de werkelijke duur. Hierdoor kun je steeds beter inschatten.</t>
  </si>
  <si>
    <t xml:space="preserve">*  De kolom "opmerkingen" gebruik je om alle bijzonderheden of aandachtspunten t.a.v. deze userstory te noteren. </t>
  </si>
  <si>
    <t>*  De kolom "gereed" spreekt voor zich.</t>
  </si>
  <si>
    <t>Groepsleden</t>
  </si>
  <si>
    <t>Puntenverdeling</t>
  </si>
  <si>
    <t>Velocity</t>
  </si>
  <si>
    <t>Pokerpunten</t>
  </si>
  <si>
    <t>Voornaam</t>
  </si>
  <si>
    <t>studentnr.</t>
  </si>
  <si>
    <t>Sprint</t>
  </si>
  <si>
    <t>Duur</t>
  </si>
  <si>
    <t>Punten</t>
  </si>
  <si>
    <t>Percentage</t>
  </si>
  <si>
    <t>(per dag weg te werken)</t>
  </si>
  <si>
    <r>
      <t xml:space="preserve">De pokerpunten worden gebruikt op het tabblad </t>
    </r>
    <r>
      <rPr>
        <b/>
        <sz val="11"/>
        <color rgb="FFFF0000"/>
        <rFont val="Calibri"/>
        <family val="2"/>
        <scheme val="minor"/>
      </rPr>
      <t>Projectplanning</t>
    </r>
    <r>
      <rPr>
        <sz val="11"/>
        <color rgb="FFFF0000"/>
        <rFont val="Calibri"/>
        <family val="2"/>
        <scheme val="minor"/>
      </rPr>
      <t>.
 Dit zorg ervoor dat er alleen maar geldige waarden ingevoerd kunnen worden.</t>
    </r>
  </si>
  <si>
    <t>Sprint 1</t>
  </si>
  <si>
    <t>dagen</t>
  </si>
  <si>
    <t>Sprint 2</t>
  </si>
  <si>
    <t>Sprint 3</t>
  </si>
  <si>
    <t>Totaal</t>
  </si>
  <si>
    <t>* Vul de namen van de groepsleden in</t>
  </si>
  <si>
    <t>* Vul het aantal dagen per sprint in</t>
  </si>
  <si>
    <t>* Vul de studentnummers in</t>
  </si>
  <si>
    <r>
      <rPr>
        <b/>
        <sz val="12"/>
        <color theme="1"/>
        <rFont val="Calibri"/>
        <family val="2"/>
        <scheme val="minor"/>
      </rPr>
      <t>Geselecteerde Sprint</t>
    </r>
    <r>
      <rPr>
        <sz val="12"/>
        <color theme="1"/>
        <rFont val="Calibri"/>
        <family val="2"/>
        <scheme val="minor"/>
      </rPr>
      <t xml:space="preserve">
&lt;-- punten in sprint
Percentage van totaal --&gt;</t>
    </r>
  </si>
  <si>
    <t xml:space="preserve">Totaal: </t>
  </si>
  <si>
    <t>Taak Nr</t>
  </si>
  <si>
    <t>Activiteit /  Userstory</t>
  </si>
  <si>
    <t>Wie</t>
  </si>
  <si>
    <t>Opmerkingen</t>
  </si>
  <si>
    <t>Gereed</t>
  </si>
  <si>
    <t>L1-PRO-1</t>
  </si>
  <si>
    <t>DIGITAAL PORTFOLIO</t>
  </si>
  <si>
    <t>Als student wil ik het PVE (Programma van Eisen) doornemen zodat ik weet wat de opdracht vereist.</t>
  </si>
  <si>
    <t>Allemaal</t>
  </si>
  <si>
    <t>Als student wil ik verschillende design ideeën schetsen zodat mijn portfolio uniek en persoonlijk wordt.</t>
  </si>
  <si>
    <t>Als student wil ik feedback krijgen op mijn ontwerp zodat ik weet of ik op de goede weg ben.</t>
  </si>
  <si>
    <t>Als student wil ik diverse media verzamelen zodat het project er verzorgd en professioneel uitziet.</t>
  </si>
  <si>
    <t>Als student wil ik de HTML en CSS opdrachten en lessen gevolgd en  gemaakt hebben zodat ik meer weet over HTML en CSS.</t>
  </si>
  <si>
    <t>Als student wil ik de HTML Grid en Flexbox opdrachten maken zodat ik een nette layout kan maken in HTML en CSS.</t>
  </si>
  <si>
    <t>Als student wil ik een projectstructuur in elkaar zetten zodat ik overzicht heb en alles kan terugvinden.</t>
  </si>
  <si>
    <t xml:space="preserve">L1-PRO-1 </t>
  </si>
  <si>
    <t>Als student wil ik een projectenpagina maken zodat bezoekers kunnen zien wat ik gemaakt heb en waar ik goed in ben.</t>
  </si>
  <si>
    <t>Als student wil ik een homepage voor mijn portfolio bouwen zodat mijn bezoekers meteen een goede indruk krijgen.</t>
  </si>
  <si>
    <t>Als student zorg ik dat het porfolio online staat en benaderbaar is via de school VPS</t>
  </si>
  <si>
    <t>L1-PRO-2</t>
  </si>
  <si>
    <t>HET GOEDE DOEL</t>
  </si>
  <si>
    <t>Als Student wil ik een non-profit organisatie kiezen om een website voor te maken.</t>
  </si>
  <si>
    <t>Als Student wil ik goedkeuring hebben voor de gekozen organisatie zodat ik een unieke non-profit heb.</t>
  </si>
  <si>
    <t>Als Student wil ik een design maken zodat ik een mooie en professionele website kan creëren.</t>
  </si>
  <si>
    <t>Als Student wil ik een go voor mijn design zodat ik weet dat mijn product geschikt is om te maken.</t>
  </si>
  <si>
    <t>Als Student wil ik een ontwikkelomgeving en projectfolder opgezet hebben zodat ik overzichtelijk aan het werk kan.</t>
  </si>
  <si>
    <t>Als Klant wil ik een verhaal over een bijzonder moment binnen de non-profit organisatie op de website. Hero (A touching story)</t>
  </si>
  <si>
    <t>Als gebruiker wil ik kunnen zien wat voor diensten of producten de non-profit aanbiedt/verkoopt.</t>
  </si>
  <si>
    <t>Als gebruiker wil ik kunnen zien wat anderen van de non-profit vinden. (fictief Reviews)</t>
  </si>
  <si>
    <t xml:space="preserve"> Als gebruiker wil ik weten hoe ik kan deelnemen of supporten. Pricing (Subscriptions of one-time donaties)</t>
  </si>
  <si>
    <t>Als klant wil ik op de website alle punten die ons uniek maken. USP (unique selling points)</t>
  </si>
  <si>
    <t>Als klant wil ik een Call to action op de website zodat mensen uitgedaagd worden om mee te doen/mee te denken. (Call to Action)</t>
  </si>
  <si>
    <t>Als gebruiker wil ik een header met navigatie zodat ik makkelijk en overzichtelijk door de website heen kan.</t>
  </si>
  <si>
    <t xml:space="preserve">Als klant wil ik een footer zodat mensen weten dat ze onderaan de website zijn en daar extra info kunnen vinden zoals contactinformatie. </t>
  </si>
  <si>
    <t>Als student wil ik de non-profit website online zetten op de VPS-server, zodat deze toegankelijk is voor potentiële werkgevers, docenten en de non-profit organisatie.</t>
  </si>
  <si>
    <t xml:space="preserve">Als developer wil ik een repository aanmaken waar ik de voortgang van mijn project kan bijhouden.  </t>
  </si>
  <si>
    <t>yo</t>
  </si>
  <si>
    <t>Dag</t>
  </si>
  <si>
    <t>Ideaal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</si>
</sst>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0.0"/>
  </numFmts>
  <fonts count="37">
    <font>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6"/>
      <color theme="1"/>
      <name val="Calibri"/>
      <family val="2"/>
      <scheme val="minor"/>
    </font>
    <font>
      <sz val="8"/>
      <name val="Calibri"/>
      <family val="2"/>
      <scheme val="minor"/>
    </font>
    <font>
      <sz val="11"/>
      <color theme="1"/>
      <name val="Calibri"/>
      <family val="2"/>
      <scheme val="minor"/>
    </font>
    <font>
      <sz val="20"/>
      <color theme="1"/>
      <name val="Calibri"/>
      <family val="2"/>
      <scheme val="minor"/>
    </font>
    <font>
      <sz val="11"/>
      <color rgb="FFFF0000"/>
      <name val="Calibri"/>
      <family val="2"/>
      <scheme val="minor"/>
    </font>
    <font>
      <sz val="14"/>
      <color theme="1"/>
      <name val="Calibri"/>
      <family val="2"/>
      <scheme val="minor"/>
    </font>
    <font>
      <b/>
      <sz val="20"/>
      <color theme="0"/>
      <name val="Calibri"/>
      <family val="2"/>
      <scheme val="minor"/>
    </font>
    <font>
      <sz val="14"/>
      <color rgb="FF000000"/>
      <name val="Calibri"/>
      <family val="2"/>
      <scheme val="minor"/>
    </font>
    <font>
      <i/>
      <sz val="14"/>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4"/>
      <color rgb="FF000000"/>
      <name val="Calibri"/>
      <family val="2"/>
      <scheme val="minor"/>
    </font>
    <font>
      <sz val="14"/>
      <color rgb="FFFF0000"/>
      <name val="Calibri"/>
      <family val="2"/>
      <scheme val="minor"/>
    </font>
    <font>
      <b/>
      <sz val="16"/>
      <name val="Calibri"/>
      <family val="2"/>
      <scheme val="minor"/>
    </font>
    <font>
      <b/>
      <sz val="11"/>
      <color rgb="FFFF0000"/>
      <name val="Calibri"/>
      <family val="2"/>
      <scheme val="minor"/>
    </font>
    <font>
      <b/>
      <sz val="8"/>
      <color theme="1"/>
      <name val="Calibri"/>
      <family val="2"/>
      <scheme val="minor"/>
    </font>
    <font>
      <b/>
      <i/>
      <sz val="12"/>
      <color theme="1"/>
      <name val="Calibri"/>
      <family val="2"/>
      <scheme val="minor"/>
    </font>
    <font>
      <b/>
      <sz val="11"/>
      <color theme="1"/>
      <name val="Calibri"/>
      <family val="2"/>
      <scheme val="minor"/>
    </font>
    <font>
      <b/>
      <sz val="22"/>
      <color theme="1"/>
      <name val="Calibri"/>
      <family val="2"/>
      <scheme val="minor"/>
    </font>
    <font>
      <b/>
      <sz val="12"/>
      <color theme="0" tint="-0.499984740745262"/>
      <name val="Calibri"/>
      <family val="2"/>
      <scheme val="minor"/>
    </font>
    <font>
      <b/>
      <sz val="10"/>
      <color rgb="FFFF0000"/>
      <name val="Calibri"/>
      <family val="2"/>
      <scheme val="minor"/>
    </font>
    <font>
      <b/>
      <sz val="10"/>
      <color rgb="FFFFC000"/>
      <name val="Calibri"/>
      <family val="2"/>
      <scheme val="minor"/>
    </font>
    <font>
      <b/>
      <sz val="10"/>
      <color rgb="FF92D050"/>
      <name val="Calibri"/>
      <family val="2"/>
      <scheme val="minor"/>
    </font>
    <font>
      <b/>
      <sz val="10"/>
      <color rgb="FF00B0F0"/>
      <name val="Calibri"/>
      <family val="2"/>
      <scheme val="minor"/>
    </font>
    <font>
      <b/>
      <sz val="10"/>
      <color rgb="FF7030A0"/>
      <name val="Calibri"/>
      <family val="2"/>
      <scheme val="minor"/>
    </font>
    <font>
      <b/>
      <sz val="10"/>
      <color rgb="FFFFFF00"/>
      <name val="Calibri"/>
      <family val="2"/>
      <scheme val="minor"/>
    </font>
    <font>
      <b/>
      <sz val="10"/>
      <color theme="1"/>
      <name val="Calibri"/>
      <family val="2"/>
      <scheme val="minor"/>
    </font>
    <font>
      <sz val="12"/>
      <color rgb="FF000000"/>
      <name val="Calibri"/>
      <scheme val="minor"/>
    </font>
    <font>
      <sz val="11"/>
      <color rgb="FF000000"/>
      <name val="Calibri"/>
      <family val="2"/>
      <charset val="1"/>
    </font>
    <font>
      <sz val="11"/>
      <color rgb="FF333333"/>
      <name val="Arial"/>
      <family val="2"/>
    </font>
    <font>
      <sz val="11"/>
      <color rgb="FF000000"/>
      <name val="Arial"/>
    </font>
    <font>
      <sz val="11"/>
      <color rgb="FF000000"/>
      <name val="Arial"/>
      <family val="2"/>
    </font>
  </fonts>
  <fills count="9">
    <fill>
      <patternFill patternType="none"/>
    </fill>
    <fill>
      <patternFill patternType="gray125"/>
    </fill>
    <fill>
      <patternFill patternType="solid">
        <fgColor rgb="FFA5A5A5"/>
      </patternFill>
    </fill>
    <fill>
      <patternFill patternType="solid">
        <fgColor theme="2" tint="-9.9978637043366805E-2"/>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35">
    <border>
      <left/>
      <right/>
      <top/>
      <bottom/>
      <diagonal/>
    </border>
    <border>
      <left style="medium">
        <color theme="0" tint="-0.14999847407452621"/>
      </left>
      <right style="medium">
        <color theme="0" tint="-0.14999847407452621"/>
      </right>
      <top style="medium">
        <color theme="0" tint="-0.14999847407452621"/>
      </top>
      <bottom style="medium">
        <color theme="0" tint="-0.14999847407452621"/>
      </bottom>
      <diagonal/>
    </border>
    <border>
      <left style="double">
        <color rgb="FF3F3F3F"/>
      </left>
      <right style="double">
        <color rgb="FF3F3F3F"/>
      </right>
      <top style="double">
        <color rgb="FF3F3F3F"/>
      </top>
      <bottom style="double">
        <color rgb="FF3F3F3F"/>
      </bottom>
      <diagonal/>
    </border>
    <border>
      <left/>
      <right style="medium">
        <color theme="0" tint="-0.14999847407452621"/>
      </right>
      <top style="medium">
        <color theme="0" tint="-0.14999847407452621"/>
      </top>
      <bottom style="medium">
        <color theme="0" tint="-0.14999847407452621"/>
      </bottom>
      <diagonal/>
    </border>
    <border>
      <left style="medium">
        <color theme="0" tint="-0.14999847407452621"/>
      </left>
      <right/>
      <top style="medium">
        <color theme="0" tint="-0.14999847407452621"/>
      </top>
      <bottom style="medium">
        <color theme="0" tint="-0.14999847407452621"/>
      </bottom>
      <diagonal/>
    </border>
    <border>
      <left/>
      <right/>
      <top/>
      <bottom style="double">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double">
        <color rgb="FF3F3F3F"/>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right style="medium">
        <color theme="0" tint="-0.14999847407452621"/>
      </right>
      <top style="medium">
        <color theme="0" tint="-0.14999847407452621"/>
      </top>
      <bottom/>
      <diagonal/>
    </border>
    <border>
      <left style="medium">
        <color theme="0" tint="-0.14999847407452621"/>
      </left>
      <right style="medium">
        <color theme="0" tint="-0.14999847407452621"/>
      </right>
      <top style="medium">
        <color theme="0" tint="-0.14999847407452621"/>
      </top>
      <bottom/>
      <diagonal/>
    </border>
    <border>
      <left style="medium">
        <color theme="0" tint="-0.14999847407452621"/>
      </left>
      <right/>
      <top style="medium">
        <color theme="0" tint="-0.14999847407452621"/>
      </top>
      <bottom/>
      <diagonal/>
    </border>
  </borders>
  <cellStyleXfs count="4">
    <xf numFmtId="0" fontId="0" fillId="0" borderId="0"/>
    <xf numFmtId="0" fontId="3" fillId="2" borderId="2" applyNumberFormat="0" applyAlignment="0" applyProtection="0"/>
    <xf numFmtId="9" fontId="6" fillId="0" borderId="0" applyFont="0" applyFill="0" applyBorder="0" applyAlignment="0" applyProtection="0"/>
    <xf numFmtId="43" fontId="6" fillId="0" borderId="0" applyFont="0" applyFill="0" applyBorder="0" applyAlignment="0" applyProtection="0"/>
  </cellStyleXfs>
  <cellXfs count="120">
    <xf numFmtId="0" fontId="0" fillId="0" borderId="0" xfId="0"/>
    <xf numFmtId="0" fontId="4" fillId="0" borderId="0" xfId="0" applyFont="1" applyAlignment="1">
      <alignment vertical="top"/>
    </xf>
    <xf numFmtId="0" fontId="0" fillId="0" borderId="0" xfId="0" applyAlignment="1">
      <alignment horizontal="center"/>
    </xf>
    <xf numFmtId="0" fontId="0" fillId="4" borderId="0" xfId="0" applyFill="1"/>
    <xf numFmtId="0" fontId="7" fillId="4" borderId="17" xfId="0" applyFont="1" applyFill="1" applyBorder="1" applyAlignment="1">
      <alignment horizontal="right" vertical="center"/>
    </xf>
    <xf numFmtId="0" fontId="10" fillId="2" borderId="2" xfId="1" applyFont="1" applyAlignment="1">
      <alignment vertical="center"/>
    </xf>
    <xf numFmtId="0" fontId="13" fillId="0" borderId="3" xfId="0" applyFont="1" applyBorder="1" applyProtection="1">
      <protection locked="0"/>
    </xf>
    <xf numFmtId="0" fontId="13" fillId="0" borderId="1" xfId="0" applyFont="1" applyBorder="1" applyAlignment="1" applyProtection="1">
      <alignment horizontal="center"/>
      <protection locked="0"/>
    </xf>
    <xf numFmtId="0" fontId="13" fillId="0" borderId="1" xfId="0" applyFont="1" applyBorder="1" applyProtection="1">
      <protection locked="0"/>
    </xf>
    <xf numFmtId="0" fontId="13" fillId="0" borderId="4" xfId="0" applyFont="1" applyBorder="1" applyProtection="1">
      <protection locked="0"/>
    </xf>
    <xf numFmtId="0" fontId="11" fillId="6" borderId="0" xfId="0" applyFont="1" applyFill="1" applyAlignment="1">
      <alignment horizontal="left" vertical="top" wrapText="1"/>
    </xf>
    <xf numFmtId="0" fontId="0" fillId="6" borderId="0" xfId="0" applyFill="1"/>
    <xf numFmtId="0" fontId="12" fillId="6" borderId="0" xfId="0" applyFont="1" applyFill="1" applyAlignment="1">
      <alignment horizontal="left" wrapText="1" indent="1"/>
    </xf>
    <xf numFmtId="0" fontId="11" fillId="6" borderId="0" xfId="0" applyFont="1" applyFill="1"/>
    <xf numFmtId="0" fontId="9" fillId="6" borderId="0" xfId="0" applyFont="1" applyFill="1"/>
    <xf numFmtId="0" fontId="9" fillId="6" borderId="0" xfId="0" applyFont="1" applyFill="1" applyAlignment="1">
      <alignment horizontal="left" indent="1"/>
    </xf>
    <xf numFmtId="0" fontId="14" fillId="6" borderId="0" xfId="0" applyFont="1" applyFill="1" applyAlignment="1">
      <alignment horizontal="left" indent="1"/>
    </xf>
    <xf numFmtId="0" fontId="9" fillId="6" borderId="0" xfId="0" applyFont="1" applyFill="1" applyAlignment="1">
      <alignment wrapText="1"/>
    </xf>
    <xf numFmtId="0" fontId="10" fillId="6" borderId="18" xfId="1" applyFont="1" applyFill="1" applyBorder="1" applyAlignment="1">
      <alignment vertical="center"/>
    </xf>
    <xf numFmtId="0" fontId="9" fillId="6" borderId="0" xfId="0" applyFont="1" applyFill="1" applyAlignment="1">
      <alignment horizontal="left" wrapText="1" indent="1"/>
    </xf>
    <xf numFmtId="0" fontId="9" fillId="7" borderId="21" xfId="0" applyFont="1" applyFill="1" applyBorder="1" applyProtection="1">
      <protection locked="0"/>
    </xf>
    <xf numFmtId="0" fontId="9" fillId="7" borderId="17" xfId="0" applyFont="1" applyFill="1" applyBorder="1" applyProtection="1">
      <protection locked="0"/>
    </xf>
    <xf numFmtId="0" fontId="9" fillId="7" borderId="16" xfId="0" applyFont="1" applyFill="1" applyBorder="1" applyProtection="1">
      <protection locked="0"/>
    </xf>
    <xf numFmtId="0" fontId="18" fillId="0" borderId="0" xfId="0" applyFont="1" applyAlignment="1">
      <alignment horizontal="center" vertical="top" wrapText="1"/>
    </xf>
    <xf numFmtId="0" fontId="9" fillId="0" borderId="0" xfId="0" applyFont="1"/>
    <xf numFmtId="0" fontId="9" fillId="0" borderId="6" xfId="0" applyFont="1" applyBorder="1"/>
    <xf numFmtId="0" fontId="14" fillId="0" borderId="0" xfId="0" applyFont="1"/>
    <xf numFmtId="0" fontId="14" fillId="0" borderId="10" xfId="0" applyFont="1" applyBorder="1"/>
    <xf numFmtId="0" fontId="14" fillId="0" borderId="15" xfId="0" applyFont="1" applyBorder="1"/>
    <xf numFmtId="0" fontId="14" fillId="0" borderId="5" xfId="0" applyFont="1" applyBorder="1"/>
    <xf numFmtId="0" fontId="14" fillId="0" borderId="14" xfId="0" applyFont="1" applyBorder="1"/>
    <xf numFmtId="0" fontId="9" fillId="0" borderId="20" xfId="0" applyFont="1" applyBorder="1"/>
    <xf numFmtId="0" fontId="9" fillId="0" borderId="21" xfId="0" applyFont="1" applyBorder="1"/>
    <xf numFmtId="0" fontId="9" fillId="0" borderId="22" xfId="0" applyFont="1" applyBorder="1"/>
    <xf numFmtId="9" fontId="9" fillId="0" borderId="22" xfId="2" applyFont="1" applyBorder="1" applyProtection="1"/>
    <xf numFmtId="0" fontId="9" fillId="0" borderId="23" xfId="0" applyFont="1" applyBorder="1"/>
    <xf numFmtId="0" fontId="9" fillId="0" borderId="17" xfId="0" applyFont="1" applyBorder="1"/>
    <xf numFmtId="9" fontId="9" fillId="0" borderId="16" xfId="2" applyFont="1" applyBorder="1" applyProtection="1"/>
    <xf numFmtId="0" fontId="9" fillId="0" borderId="15" xfId="0" applyFont="1" applyBorder="1"/>
    <xf numFmtId="0" fontId="9" fillId="0" borderId="5" xfId="0" applyFont="1" applyBorder="1"/>
    <xf numFmtId="0" fontId="9" fillId="0" borderId="5" xfId="0" applyFont="1" applyBorder="1" applyAlignment="1">
      <alignment horizontal="center"/>
    </xf>
    <xf numFmtId="0" fontId="9" fillId="0" borderId="24" xfId="0" applyFont="1" applyBorder="1"/>
    <xf numFmtId="0" fontId="9" fillId="0" borderId="25" xfId="0" applyFont="1" applyBorder="1"/>
    <xf numFmtId="0" fontId="9" fillId="0" borderId="26" xfId="0" applyFont="1" applyBorder="1"/>
    <xf numFmtId="0" fontId="0" fillId="0" borderId="19" xfId="0" applyBorder="1"/>
    <xf numFmtId="9" fontId="14" fillId="0" borderId="10" xfId="2" applyFont="1" applyBorder="1" applyProtection="1"/>
    <xf numFmtId="0" fontId="9" fillId="0" borderId="11" xfId="0" applyFont="1" applyBorder="1"/>
    <xf numFmtId="0" fontId="9" fillId="0" borderId="12" xfId="0" applyFont="1" applyBorder="1"/>
    <xf numFmtId="0" fontId="9" fillId="0" borderId="13" xfId="0" applyFont="1" applyBorder="1"/>
    <xf numFmtId="0" fontId="17" fillId="0" borderId="0" xfId="0" applyFont="1"/>
    <xf numFmtId="0" fontId="17" fillId="0" borderId="0" xfId="0" applyFont="1" applyAlignment="1">
      <alignment horizontal="left" indent="1"/>
    </xf>
    <xf numFmtId="9" fontId="9" fillId="0" borderId="0" xfId="2" applyFont="1" applyBorder="1" applyProtection="1"/>
    <xf numFmtId="9" fontId="14" fillId="0" borderId="0" xfId="2" applyFont="1" applyBorder="1" applyProtection="1"/>
    <xf numFmtId="0" fontId="14" fillId="0" borderId="0" xfId="0" applyFont="1" applyAlignment="1">
      <alignment horizontal="center"/>
    </xf>
    <xf numFmtId="0" fontId="14" fillId="3" borderId="27" xfId="0" applyFont="1" applyFill="1" applyBorder="1" applyAlignment="1">
      <alignment horizontal="center"/>
    </xf>
    <xf numFmtId="0" fontId="9" fillId="0" borderId="31" xfId="0" applyFont="1" applyBorder="1"/>
    <xf numFmtId="0" fontId="20" fillId="0" borderId="28" xfId="0" applyFont="1" applyBorder="1" applyAlignment="1">
      <alignment horizontal="center" vertical="top" wrapText="1"/>
    </xf>
    <xf numFmtId="164" fontId="9" fillId="0" borderId="29" xfId="3" applyNumberFormat="1" applyFont="1" applyBorder="1" applyAlignment="1" applyProtection="1">
      <alignment horizontal="center"/>
    </xf>
    <xf numFmtId="164" fontId="9" fillId="0" borderId="30" xfId="3" applyNumberFormat="1" applyFont="1" applyBorder="1" applyAlignment="1" applyProtection="1">
      <alignment horizontal="center"/>
    </xf>
    <xf numFmtId="0" fontId="9" fillId="6" borderId="0" xfId="0" applyFont="1" applyFill="1" applyAlignment="1">
      <alignment horizontal="left"/>
    </xf>
    <xf numFmtId="0" fontId="15" fillId="0" borderId="3" xfId="0" applyFont="1" applyBorder="1" applyProtection="1">
      <protection locked="0"/>
    </xf>
    <xf numFmtId="0" fontId="23" fillId="5" borderId="23" xfId="0" applyFont="1" applyFill="1" applyBorder="1" applyAlignment="1">
      <alignment horizontal="center" vertical="center" wrapText="1"/>
    </xf>
    <xf numFmtId="0" fontId="23" fillId="4" borderId="16" xfId="0" applyFont="1" applyFill="1" applyBorder="1" applyAlignment="1">
      <alignment horizontal="center" vertical="center"/>
    </xf>
    <xf numFmtId="9" fontId="23" fillId="5" borderId="16" xfId="0" applyNumberFormat="1" applyFont="1" applyFill="1" applyBorder="1" applyAlignment="1">
      <alignment horizontal="center" vertical="center"/>
    </xf>
    <xf numFmtId="0" fontId="22" fillId="0" borderId="0" xfId="0" applyFont="1"/>
    <xf numFmtId="0" fontId="0" fillId="0" borderId="0" xfId="0" applyProtection="1">
      <protection locked="0"/>
    </xf>
    <xf numFmtId="2" fontId="0" fillId="0" borderId="0" xfId="0" applyNumberFormat="1"/>
    <xf numFmtId="1" fontId="0" fillId="0" borderId="0" xfId="0" applyNumberFormat="1"/>
    <xf numFmtId="0" fontId="15" fillId="8" borderId="0" xfId="0" applyFont="1" applyFill="1"/>
    <xf numFmtId="2" fontId="24" fillId="8" borderId="0" xfId="0" applyNumberFormat="1" applyFont="1" applyFill="1"/>
    <xf numFmtId="0" fontId="25" fillId="8" borderId="0" xfId="0" applyFont="1" applyFill="1" applyProtection="1">
      <protection locked="0"/>
    </xf>
    <xf numFmtId="0" fontId="26" fillId="8" borderId="0" xfId="0" applyFont="1" applyFill="1" applyProtection="1">
      <protection locked="0"/>
    </xf>
    <xf numFmtId="0" fontId="27" fillId="8" borderId="0" xfId="0" applyFont="1" applyFill="1" applyProtection="1">
      <protection locked="0"/>
    </xf>
    <xf numFmtId="0" fontId="28" fillId="8" borderId="0" xfId="0" applyFont="1" applyFill="1" applyProtection="1">
      <protection locked="0"/>
    </xf>
    <xf numFmtId="0" fontId="29" fillId="8" borderId="0" xfId="0" applyFont="1" applyFill="1" applyProtection="1">
      <protection locked="0"/>
    </xf>
    <xf numFmtId="0" fontId="30" fillId="8" borderId="0" xfId="0" applyFont="1" applyFill="1" applyProtection="1">
      <protection locked="0"/>
    </xf>
    <xf numFmtId="0" fontId="31" fillId="8" borderId="0" xfId="0" applyFont="1" applyFill="1" applyProtection="1">
      <protection locked="0"/>
    </xf>
    <xf numFmtId="0" fontId="15" fillId="8" borderId="0" xfId="0" applyFont="1" applyFill="1" applyAlignment="1">
      <alignment horizontal="left" vertical="top"/>
    </xf>
    <xf numFmtId="2" fontId="24" fillId="8" borderId="0" xfId="0" applyNumberFormat="1" applyFont="1" applyFill="1" applyAlignment="1">
      <alignment horizontal="left" vertical="top"/>
    </xf>
    <xf numFmtId="0" fontId="25" fillId="8" borderId="0" xfId="0" applyFont="1" applyFill="1" applyAlignment="1" applyProtection="1">
      <alignment horizontal="left" vertical="top" wrapText="1"/>
      <protection locked="0"/>
    </xf>
    <xf numFmtId="0" fontId="26" fillId="8" borderId="0" xfId="0" applyFont="1" applyFill="1" applyAlignment="1" applyProtection="1">
      <alignment horizontal="left" vertical="top" wrapText="1"/>
      <protection locked="0"/>
    </xf>
    <xf numFmtId="0" fontId="27" fillId="8" borderId="0" xfId="0" applyFont="1" applyFill="1" applyAlignment="1" applyProtection="1">
      <alignment horizontal="left" vertical="top" wrapText="1"/>
      <protection locked="0"/>
    </xf>
    <xf numFmtId="0" fontId="28" fillId="8" borderId="0" xfId="0" applyFont="1" applyFill="1" applyAlignment="1" applyProtection="1">
      <alignment horizontal="left" vertical="top" wrapText="1"/>
      <protection locked="0"/>
    </xf>
    <xf numFmtId="0" fontId="29" fillId="8" borderId="0" xfId="0" applyFont="1" applyFill="1" applyAlignment="1" applyProtection="1">
      <alignment horizontal="left" vertical="top" wrapText="1"/>
      <protection locked="0"/>
    </xf>
    <xf numFmtId="0" fontId="30" fillId="8" borderId="0" xfId="0" applyFont="1" applyFill="1" applyAlignment="1" applyProtection="1">
      <alignment horizontal="left" vertical="top" wrapText="1"/>
      <protection locked="0"/>
    </xf>
    <xf numFmtId="0" fontId="31" fillId="8" borderId="0" xfId="0" applyFont="1" applyFill="1" applyAlignment="1" applyProtection="1">
      <alignment horizontal="left" vertical="top" wrapText="1"/>
      <protection locked="0"/>
    </xf>
    <xf numFmtId="0" fontId="15" fillId="8" borderId="0" xfId="0" applyFont="1" applyFill="1" applyAlignment="1">
      <alignment vertical="top" wrapText="1"/>
    </xf>
    <xf numFmtId="2" fontId="24" fillId="8" borderId="0" xfId="0" applyNumberFormat="1" applyFont="1" applyFill="1" applyAlignment="1">
      <alignment vertical="top" wrapText="1"/>
    </xf>
    <xf numFmtId="0" fontId="25" fillId="8" borderId="0" xfId="0" applyFont="1" applyFill="1" applyAlignment="1" applyProtection="1">
      <alignment vertical="top" wrapText="1"/>
      <protection locked="0"/>
    </xf>
    <xf numFmtId="0" fontId="26" fillId="8" borderId="0" xfId="0" applyFont="1" applyFill="1" applyAlignment="1" applyProtection="1">
      <alignment vertical="top" wrapText="1"/>
      <protection locked="0"/>
    </xf>
    <xf numFmtId="0" fontId="27" fillId="8" borderId="0" xfId="0" applyFont="1" applyFill="1" applyAlignment="1" applyProtection="1">
      <alignment vertical="top" wrapText="1"/>
      <protection locked="0"/>
    </xf>
    <xf numFmtId="0" fontId="28" fillId="8" borderId="0" xfId="0" applyFont="1" applyFill="1" applyAlignment="1" applyProtection="1">
      <alignment vertical="top" wrapText="1"/>
      <protection locked="0"/>
    </xf>
    <xf numFmtId="0" fontId="29" fillId="8" borderId="0" xfId="0" applyFont="1" applyFill="1" applyAlignment="1" applyProtection="1">
      <alignment vertical="top" wrapText="1"/>
      <protection locked="0"/>
    </xf>
    <xf numFmtId="0" fontId="30" fillId="8" borderId="0" xfId="0" applyFont="1" applyFill="1" applyAlignment="1" applyProtection="1">
      <alignment vertical="top" wrapText="1"/>
      <protection locked="0"/>
    </xf>
    <xf numFmtId="0" fontId="31" fillId="8" borderId="0" xfId="0" applyFont="1" applyFill="1" applyAlignment="1" applyProtection="1">
      <alignment vertical="top" wrapText="1"/>
      <protection locked="0"/>
    </xf>
    <xf numFmtId="0" fontId="21" fillId="0" borderId="3" xfId="0" applyFont="1" applyBorder="1" applyAlignment="1" applyProtection="1">
      <alignment horizontal="center" vertical="top" wrapText="1"/>
      <protection locked="0"/>
    </xf>
    <xf numFmtId="0" fontId="13" fillId="0" borderId="3" xfId="0" applyFont="1" applyBorder="1" applyAlignment="1" applyProtection="1">
      <alignment wrapText="1"/>
      <protection locked="0"/>
    </xf>
    <xf numFmtId="0" fontId="13" fillId="0" borderId="3" xfId="0" applyFont="1" applyBorder="1" applyAlignment="1" applyProtection="1">
      <alignment horizontal="left" vertical="top" wrapText="1"/>
      <protection locked="0"/>
    </xf>
    <xf numFmtId="165" fontId="0" fillId="0" borderId="0" xfId="0" applyNumberFormat="1"/>
    <xf numFmtId="0" fontId="32" fillId="0" borderId="3" xfId="0" applyFont="1" applyBorder="1" applyProtection="1">
      <protection locked="0"/>
    </xf>
    <xf numFmtId="0" fontId="33" fillId="0" borderId="0" xfId="0" applyFont="1"/>
    <xf numFmtId="0" fontId="13" fillId="0" borderId="32" xfId="0" applyFont="1" applyBorder="1" applyProtection="1">
      <protection locked="0"/>
    </xf>
    <xf numFmtId="0" fontId="13" fillId="0" borderId="33" xfId="0" applyFont="1" applyBorder="1" applyAlignment="1" applyProtection="1">
      <alignment horizontal="center"/>
      <protection locked="0"/>
    </xf>
    <xf numFmtId="0" fontId="13" fillId="0" borderId="33" xfId="0" applyFont="1" applyBorder="1" applyProtection="1">
      <protection locked="0"/>
    </xf>
    <xf numFmtId="0" fontId="13" fillId="0" borderId="34" xfId="0" applyFont="1" applyBorder="1" applyProtection="1">
      <protection locked="0"/>
    </xf>
    <xf numFmtId="0" fontId="34" fillId="0" borderId="0" xfId="0" applyFont="1" applyAlignment="1">
      <alignment horizontal="left" vertical="center" wrapText="1" indent="1"/>
    </xf>
    <xf numFmtId="0" fontId="36" fillId="0" borderId="0" xfId="0" applyFont="1" applyAlignment="1">
      <alignment horizontal="left" vertical="center" wrapText="1" indent="1"/>
    </xf>
    <xf numFmtId="0" fontId="35" fillId="0" borderId="0" xfId="0" applyFont="1" applyAlignment="1">
      <alignment horizontal="left" indent="1"/>
    </xf>
    <xf numFmtId="0" fontId="35" fillId="0" borderId="3" xfId="0" applyFont="1" applyBorder="1" applyAlignment="1" applyProtection="1">
      <alignment horizontal="left" vertical="top" wrapText="1" indent="1"/>
      <protection locked="0"/>
    </xf>
    <xf numFmtId="0" fontId="18" fillId="0" borderId="0" xfId="0" applyFont="1" applyAlignment="1">
      <alignment vertical="top" wrapText="1"/>
    </xf>
    <xf numFmtId="0" fontId="13" fillId="0" borderId="1" xfId="0" applyFont="1" applyBorder="1" applyAlignment="1" applyProtection="1">
      <alignment vertical="center"/>
      <protection locked="0"/>
    </xf>
    <xf numFmtId="0" fontId="13" fillId="0" borderId="3" xfId="0" applyFont="1" applyBorder="1" applyAlignment="1" applyProtection="1">
      <alignment horizontal="left" vertical="center" wrapText="1" indent="1"/>
      <protection locked="0"/>
    </xf>
    <xf numFmtId="0" fontId="8" fillId="0" borderId="0" xfId="0" applyFont="1" applyAlignment="1">
      <alignment horizontal="left"/>
    </xf>
    <xf numFmtId="0" fontId="8" fillId="0" borderId="0" xfId="0" applyFont="1" applyAlignment="1">
      <alignment horizontal="left"/>
    </xf>
    <xf numFmtId="0" fontId="14" fillId="3" borderId="7" xfId="0" applyFont="1" applyFill="1" applyBorder="1" applyAlignment="1">
      <alignment horizontal="center"/>
    </xf>
    <xf numFmtId="0" fontId="14" fillId="3" borderId="8" xfId="0" applyFont="1" applyFill="1" applyBorder="1" applyAlignment="1">
      <alignment horizontal="center"/>
    </xf>
    <xf numFmtId="0" fontId="14" fillId="3" borderId="9" xfId="0" applyFont="1" applyFill="1" applyBorder="1" applyAlignment="1">
      <alignment horizontal="center"/>
    </xf>
    <xf numFmtId="0" fontId="8" fillId="0" borderId="10" xfId="0" applyFont="1" applyBorder="1" applyAlignment="1">
      <alignment horizontal="center" vertical="top" wrapText="1"/>
    </xf>
    <xf numFmtId="0" fontId="8" fillId="0" borderId="13" xfId="0" applyFont="1" applyBorder="1" applyAlignment="1">
      <alignment horizontal="center" vertical="top" wrapText="1"/>
    </xf>
    <xf numFmtId="0" fontId="13" fillId="5" borderId="17" xfId="0" applyFont="1" applyFill="1" applyBorder="1" applyAlignment="1">
      <alignment horizontal="center" vertical="center" wrapText="1"/>
    </xf>
  </cellXfs>
  <cellStyles count="4">
    <cellStyle name="Controlecel" xfId="1" builtinId="23"/>
    <cellStyle name="Komma" xfId="3" builtinId="3"/>
    <cellStyle name="Procent" xfId="2" builtinId="5"/>
    <cellStyle name="Standaard" xfId="0" builtinId="0"/>
  </cellStyles>
  <dxfs count="11">
    <dxf>
      <font>
        <strike val="0"/>
        <outline val="0"/>
        <shadow val="0"/>
        <u val="none"/>
        <vertAlign val="baseline"/>
        <sz val="12"/>
        <color theme="1"/>
        <name val="Calibri"/>
        <family val="2"/>
        <scheme val="minor"/>
      </font>
      <fill>
        <patternFill patternType="none">
          <fgColor indexed="64"/>
          <bgColor auto="1"/>
        </patternFill>
      </fill>
      <border diagonalUp="0" diagonalDown="0" outline="0">
        <left style="medium">
          <color theme="0" tint="-0.14999847407452621"/>
        </left>
        <right/>
        <top style="medium">
          <color theme="0" tint="-0.14999847407452621"/>
        </top>
        <bottom style="medium">
          <color theme="0" tint="-0.14999847407452621"/>
        </bottom>
      </border>
      <protection locked="0" hidden="0"/>
    </dxf>
    <dxf>
      <font>
        <strike val="0"/>
        <outline val="0"/>
        <shadow val="0"/>
        <u val="none"/>
        <vertAlign val="baseline"/>
        <sz val="12"/>
        <color theme="1"/>
        <name val="Calibri"/>
        <family val="2"/>
        <scheme val="minor"/>
      </font>
      <fill>
        <patternFill patternType="none">
          <fgColor indexed="64"/>
          <bgColor auto="1"/>
        </patternFill>
      </fill>
      <border diagonalUp="0" diagonalDown="0" outline="0">
        <left style="medium">
          <color theme="0" tint="-0.14999847407452621"/>
        </left>
        <right style="medium">
          <color theme="0" tint="-0.14999847407452621"/>
        </right>
        <top style="medium">
          <color theme="0" tint="-0.14999847407452621"/>
        </top>
        <bottom style="medium">
          <color theme="0" tint="-0.14999847407452621"/>
        </bottom>
      </border>
      <protection locked="0" hidden="0"/>
    </dxf>
    <dxf>
      <font>
        <strike val="0"/>
        <outline val="0"/>
        <shadow val="0"/>
        <u val="none"/>
        <vertAlign val="baseline"/>
        <sz val="12"/>
        <color theme="1"/>
        <name val="Calibri"/>
        <family val="2"/>
        <scheme val="minor"/>
      </font>
      <fill>
        <patternFill patternType="none">
          <fgColor indexed="64"/>
          <bgColor auto="1"/>
        </patternFill>
      </fill>
      <border diagonalUp="0" diagonalDown="0" outline="0">
        <left style="medium">
          <color theme="0" tint="-0.14999847407452621"/>
        </left>
        <right style="medium">
          <color theme="0" tint="-0.14999847407452621"/>
        </right>
        <top style="medium">
          <color theme="0" tint="-0.14999847407452621"/>
        </top>
        <bottom style="medium">
          <color theme="0" tint="-0.14999847407452621"/>
        </bottom>
      </border>
      <protection locked="0" hidden="0"/>
    </dxf>
    <dxf>
      <font>
        <strike val="0"/>
        <outline val="0"/>
        <shadow val="0"/>
        <u val="none"/>
        <vertAlign val="baseline"/>
        <sz val="12"/>
        <color theme="1"/>
        <name val="Calibri"/>
        <family val="2"/>
        <scheme val="minor"/>
      </font>
      <fill>
        <patternFill patternType="none">
          <fgColor indexed="64"/>
          <bgColor auto="1"/>
        </patternFill>
      </fill>
      <border diagonalUp="0" diagonalDown="0" outline="0">
        <left style="medium">
          <color theme="0" tint="-0.14999847407452621"/>
        </left>
        <right style="medium">
          <color theme="0" tint="-0.14999847407452621"/>
        </right>
        <top style="medium">
          <color theme="0" tint="-0.14999847407452621"/>
        </top>
        <bottom style="medium">
          <color theme="0" tint="-0.14999847407452621"/>
        </bottom>
      </border>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general"/>
      <border diagonalUp="0" diagonalDown="0">
        <left style="medium">
          <color theme="0" tint="-0.14999847407452621"/>
        </left>
        <right style="medium">
          <color theme="0" tint="-0.14999847407452621"/>
        </right>
        <top style="medium">
          <color theme="0" tint="-0.14999847407452621"/>
        </top>
        <bottom style="medium">
          <color theme="0" tint="-0.14999847407452621"/>
        </bottom>
      </border>
      <protection locked="0" hidden="0"/>
    </dxf>
    <dxf>
      <font>
        <strike val="0"/>
        <outline val="0"/>
        <shadow val="0"/>
        <u val="none"/>
        <vertAlign val="baseline"/>
        <sz val="12"/>
        <color theme="1"/>
        <name val="Calibri"/>
        <family val="2"/>
        <scheme val="minor"/>
      </font>
      <fill>
        <patternFill patternType="none">
          <fgColor indexed="64"/>
          <bgColor indexed="65"/>
        </patternFill>
      </fill>
      <alignment horizontal="center" textRotation="0" indent="0" justifyLastLine="0" shrinkToFit="0" readingOrder="0"/>
      <border diagonalUp="0" diagonalDown="0" outline="0">
        <left style="medium">
          <color theme="0" tint="-0.14999847407452621"/>
        </left>
        <right style="medium">
          <color theme="0" tint="-0.14999847407452621"/>
        </right>
        <top style="medium">
          <color theme="0" tint="-0.14999847407452621"/>
        </top>
        <bottom style="medium">
          <color theme="0" tint="-0.14999847407452621"/>
        </bottom>
      </border>
      <protection locked="0" hidden="0"/>
    </dxf>
    <dxf>
      <font>
        <b val="0"/>
        <i val="0"/>
        <strike val="0"/>
        <condense val="0"/>
        <extend val="0"/>
        <outline val="0"/>
        <shadow val="0"/>
        <u val="none"/>
        <vertAlign val="baseline"/>
        <sz val="12"/>
        <color theme="1"/>
        <name val="Calibri"/>
        <family val="2"/>
        <scheme val="minor"/>
      </font>
      <border diagonalUp="0" diagonalDown="0">
        <left/>
        <right style="medium">
          <color theme="0" tint="-0.14999847407452621"/>
        </right>
        <top style="medium">
          <color theme="0" tint="-0.14999847407452621"/>
        </top>
        <bottom style="medium">
          <color theme="0" tint="-0.14999847407452621"/>
        </bottom>
        <vertical/>
        <horizontal/>
      </border>
      <protection locked="0" hidden="0"/>
    </dxf>
    <dxf>
      <font>
        <strike val="0"/>
        <outline val="0"/>
        <shadow val="0"/>
        <u val="none"/>
        <vertAlign val="baseline"/>
        <sz val="12"/>
        <color theme="1"/>
        <name val="Calibri"/>
        <family val="2"/>
        <scheme val="minor"/>
      </font>
      <fill>
        <patternFill patternType="none">
          <fgColor indexed="64"/>
          <bgColor indexed="65"/>
        </patternFill>
      </fill>
      <border diagonalUp="0" diagonalDown="0" outline="0">
        <left/>
        <right style="medium">
          <color theme="0" tint="-0.14999847407452621"/>
        </right>
        <top style="medium">
          <color theme="0" tint="-0.14999847407452621"/>
        </top>
        <bottom style="medium">
          <color theme="0" tint="-0.14999847407452621"/>
        </bottom>
      </border>
      <protection locked="0" hidden="0"/>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2"/>
        <color theme="1"/>
        <name val="Calibri"/>
        <family val="2"/>
        <scheme val="minor"/>
      </font>
      <fill>
        <patternFill patternType="none">
          <fgColor rgb="FF000000"/>
          <bgColor auto="1"/>
        </patternFill>
      </fill>
      <protection locked="0" hidden="0"/>
    </dxf>
    <dxf>
      <font>
        <b/>
        <i val="0"/>
        <strike val="0"/>
        <condense val="0"/>
        <extend val="0"/>
        <outline val="0"/>
        <shadow val="0"/>
        <u val="none"/>
        <vertAlign val="baseline"/>
        <sz val="16"/>
        <color auto="1"/>
        <name val="Calibri"/>
        <family val="2"/>
        <scheme val="minor"/>
      </font>
      <fill>
        <patternFill patternType="none">
          <fgColor indexed="64"/>
          <bgColor auto="1"/>
        </patternFill>
      </fill>
      <alignment horizontal="center" vertical="top" textRotation="0" wrapText="1" indent="0" justifyLastLine="0" shrinkToFit="0" readingOrder="0"/>
    </dxf>
  </dxfs>
  <tableStyles count="0" defaultTableStyle="TableStyleMedium2" defaultPivotStyle="PivotStyleLight16"/>
  <colors>
    <mruColors>
      <color rgb="FF3D95D0"/>
      <color rgb="FF2C3F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Burndown</a:t>
            </a:r>
            <a:r>
              <a:rPr lang="nl-NL" baseline="0"/>
              <a:t> sprint 1</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5.1052468281720373E-2"/>
          <c:y val="0.17171296296296296"/>
          <c:w val="0.74021483736258209"/>
          <c:h val="0.73824766695829691"/>
        </c:manualLayout>
      </c:layout>
      <c:lineChart>
        <c:grouping val="standard"/>
        <c:varyColors val="0"/>
        <c:ser>
          <c:idx val="2"/>
          <c:order val="0"/>
          <c:tx>
            <c:strRef>
              <c:f>'Burndown sprint'!$B$2</c:f>
              <c:strCache>
                <c:ptCount val="1"/>
                <c:pt idx="0">
                  <c:v>Ideaal</c:v>
                </c:pt>
              </c:strCache>
            </c:strRef>
          </c:tx>
          <c:spPr>
            <a:ln w="28575" cap="rnd" cmpd="sng">
              <a:solidFill>
                <a:schemeClr val="bg1">
                  <a:lumMod val="50000"/>
                </a:schemeClr>
              </a:solidFill>
              <a:prstDash val="sysDot"/>
              <a:round/>
            </a:ln>
            <a:effectLst/>
          </c:spPr>
          <c:marker>
            <c:symbol val="none"/>
          </c:marker>
          <c:cat>
            <c:numRef>
              <c:f>'Burndown sprint'!$A$3:$A$18</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sprint'!$B$3:$B$18</c:f>
              <c:numCache>
                <c:formatCode>General</c:formatCode>
                <c:ptCount val="16"/>
                <c:pt idx="0" formatCode="0">
                  <c:v>67</c:v>
                </c:pt>
                <c:pt idx="1">
                  <c:v>60.3</c:v>
                </c:pt>
                <c:pt idx="2">
                  <c:v>53.6</c:v>
                </c:pt>
                <c:pt idx="3">
                  <c:v>46.9</c:v>
                </c:pt>
                <c:pt idx="4">
                  <c:v>40.200000000000003</c:v>
                </c:pt>
                <c:pt idx="5">
                  <c:v>33.5</c:v>
                </c:pt>
                <c:pt idx="6">
                  <c:v>26.8</c:v>
                </c:pt>
                <c:pt idx="7">
                  <c:v>20.100000000000001</c:v>
                </c:pt>
                <c:pt idx="8">
                  <c:v>13.4</c:v>
                </c:pt>
                <c:pt idx="9">
                  <c:v>6.7</c:v>
                </c:pt>
                <c:pt idx="10">
                  <c:v>0</c:v>
                </c:pt>
              </c:numCache>
              <c:extLst/>
            </c:numRef>
          </c:val>
          <c:smooth val="0"/>
          <c:extLst>
            <c:ext xmlns:c16="http://schemas.microsoft.com/office/drawing/2014/chart" uri="{C3380CC4-5D6E-409C-BE32-E72D297353CC}">
              <c16:uniqueId val="{00000002-3581-49E5-865D-827BDDF79021}"/>
            </c:ext>
          </c:extLst>
        </c:ser>
        <c:ser>
          <c:idx val="3"/>
          <c:order val="1"/>
          <c:tx>
            <c:strRef>
              <c:f>'Burndown sprint'!$C$2</c:f>
              <c:strCache>
                <c:ptCount val="1"/>
                <c:pt idx="0">
                  <c:v>0</c:v>
                </c:pt>
              </c:strCache>
            </c:strRef>
          </c:tx>
          <c:spPr>
            <a:ln w="28575" cap="rnd">
              <a:solidFill>
                <a:srgbClr val="FF0000"/>
              </a:solidFill>
              <a:round/>
            </a:ln>
            <a:effectLst/>
          </c:spPr>
          <c:marker>
            <c:symbol val="none"/>
          </c:marker>
          <c:cat>
            <c:numRef>
              <c:f>'Burndown sprint'!$A$3:$A$18</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sprint'!$C$3:$C$18</c:f>
              <c:numCache>
                <c:formatCode>General</c:formatCode>
                <c:ptCount val="16"/>
                <c:pt idx="0">
                  <c:v>67</c:v>
                </c:pt>
              </c:numCache>
              <c:extLst/>
            </c:numRef>
          </c:val>
          <c:smooth val="0"/>
          <c:extLst>
            <c:ext xmlns:c16="http://schemas.microsoft.com/office/drawing/2014/chart" uri="{C3380CC4-5D6E-409C-BE32-E72D297353CC}">
              <c16:uniqueId val="{00000003-3581-49E5-865D-827BDDF79021}"/>
            </c:ext>
          </c:extLst>
        </c:ser>
        <c:ser>
          <c:idx val="4"/>
          <c:order val="2"/>
          <c:tx>
            <c:strRef>
              <c:f>'Burndown sprint'!$D$2</c:f>
              <c:strCache>
                <c:ptCount val="1"/>
                <c:pt idx="0">
                  <c:v>0</c:v>
                </c:pt>
              </c:strCache>
            </c:strRef>
          </c:tx>
          <c:spPr>
            <a:ln w="28575" cap="rnd">
              <a:solidFill>
                <a:srgbClr val="FFC000"/>
              </a:solidFill>
              <a:round/>
            </a:ln>
            <a:effectLst/>
          </c:spPr>
          <c:marker>
            <c:symbol val="none"/>
          </c:marker>
          <c:cat>
            <c:numRef>
              <c:f>'Burndown sprint'!$A$3:$A$18</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sprint'!$D$3:$D$18</c:f>
              <c:numCache>
                <c:formatCode>General</c:formatCode>
                <c:ptCount val="16"/>
                <c:pt idx="0">
                  <c:v>67</c:v>
                </c:pt>
              </c:numCache>
              <c:extLst/>
            </c:numRef>
          </c:val>
          <c:smooth val="0"/>
          <c:extLst>
            <c:ext xmlns:c16="http://schemas.microsoft.com/office/drawing/2014/chart" uri="{C3380CC4-5D6E-409C-BE32-E72D297353CC}">
              <c16:uniqueId val="{00000004-3581-49E5-865D-827BDDF79021}"/>
            </c:ext>
          </c:extLst>
        </c:ser>
        <c:ser>
          <c:idx val="5"/>
          <c:order val="3"/>
          <c:tx>
            <c:strRef>
              <c:f>'Burndown sprint'!$E$2</c:f>
              <c:strCache>
                <c:ptCount val="1"/>
                <c:pt idx="0">
                  <c:v>0</c:v>
                </c:pt>
              </c:strCache>
            </c:strRef>
          </c:tx>
          <c:spPr>
            <a:ln w="28575" cap="rnd">
              <a:solidFill>
                <a:srgbClr val="92D050"/>
              </a:solidFill>
              <a:round/>
            </a:ln>
            <a:effectLst/>
          </c:spPr>
          <c:marker>
            <c:symbol val="none"/>
          </c:marker>
          <c:cat>
            <c:numRef>
              <c:f>'Burndown sprint'!$A$3:$A$18</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sprint'!$E$3:$E$18</c:f>
              <c:numCache>
                <c:formatCode>General</c:formatCode>
                <c:ptCount val="16"/>
                <c:pt idx="0">
                  <c:v>67</c:v>
                </c:pt>
              </c:numCache>
              <c:extLst/>
            </c:numRef>
          </c:val>
          <c:smooth val="0"/>
          <c:extLst>
            <c:ext xmlns:c16="http://schemas.microsoft.com/office/drawing/2014/chart" uri="{C3380CC4-5D6E-409C-BE32-E72D297353CC}">
              <c16:uniqueId val="{00000005-3581-49E5-865D-827BDDF79021}"/>
            </c:ext>
          </c:extLst>
        </c:ser>
        <c:ser>
          <c:idx val="6"/>
          <c:order val="4"/>
          <c:tx>
            <c:strRef>
              <c:f>'Burndown sprint'!$F$2</c:f>
              <c:strCache>
                <c:ptCount val="1"/>
                <c:pt idx="0">
                  <c:v>0</c:v>
                </c:pt>
              </c:strCache>
            </c:strRef>
          </c:tx>
          <c:spPr>
            <a:ln w="28575" cap="rnd">
              <a:solidFill>
                <a:srgbClr val="00B0F0"/>
              </a:solidFill>
              <a:round/>
            </a:ln>
            <a:effectLst/>
          </c:spPr>
          <c:marker>
            <c:symbol val="none"/>
          </c:marker>
          <c:cat>
            <c:numRef>
              <c:f>'Burndown sprint'!$A$3:$A$18</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sprint'!$F$3:$F$18</c:f>
              <c:numCache>
                <c:formatCode>General</c:formatCode>
                <c:ptCount val="16"/>
                <c:pt idx="0">
                  <c:v>67</c:v>
                </c:pt>
              </c:numCache>
              <c:extLst/>
            </c:numRef>
          </c:val>
          <c:smooth val="0"/>
          <c:extLst>
            <c:ext xmlns:c16="http://schemas.microsoft.com/office/drawing/2014/chart" uri="{C3380CC4-5D6E-409C-BE32-E72D297353CC}">
              <c16:uniqueId val="{00000006-3581-49E5-865D-827BDDF79021}"/>
            </c:ext>
          </c:extLst>
        </c:ser>
        <c:ser>
          <c:idx val="7"/>
          <c:order val="5"/>
          <c:tx>
            <c:strRef>
              <c:f>'Burndown sprint'!$G$2</c:f>
              <c:strCache>
                <c:ptCount val="1"/>
                <c:pt idx="0">
                  <c:v>0</c:v>
                </c:pt>
              </c:strCache>
            </c:strRef>
          </c:tx>
          <c:spPr>
            <a:ln w="28575" cap="rnd">
              <a:solidFill>
                <a:srgbClr val="7030A0"/>
              </a:solidFill>
              <a:round/>
            </a:ln>
            <a:effectLst/>
          </c:spPr>
          <c:marker>
            <c:symbol val="none"/>
          </c:marker>
          <c:cat>
            <c:numRef>
              <c:f>'Burndown sprint'!$A$3:$A$18</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sprint'!$G$3:$G$18</c:f>
              <c:numCache>
                <c:formatCode>General</c:formatCode>
                <c:ptCount val="16"/>
                <c:pt idx="0">
                  <c:v>67</c:v>
                </c:pt>
              </c:numCache>
              <c:extLst/>
            </c:numRef>
          </c:val>
          <c:smooth val="0"/>
          <c:extLst>
            <c:ext xmlns:c16="http://schemas.microsoft.com/office/drawing/2014/chart" uri="{C3380CC4-5D6E-409C-BE32-E72D297353CC}">
              <c16:uniqueId val="{00000007-3581-49E5-865D-827BDDF79021}"/>
            </c:ext>
          </c:extLst>
        </c:ser>
        <c:ser>
          <c:idx val="8"/>
          <c:order val="6"/>
          <c:tx>
            <c:strRef>
              <c:f>'Burndown sprint'!$H$2</c:f>
              <c:strCache>
                <c:ptCount val="1"/>
                <c:pt idx="0">
                  <c:v>0</c:v>
                </c:pt>
              </c:strCache>
            </c:strRef>
          </c:tx>
          <c:spPr>
            <a:ln w="28575" cap="rnd">
              <a:solidFill>
                <a:srgbClr val="FFFF00"/>
              </a:solidFill>
              <a:round/>
            </a:ln>
            <a:effectLst/>
          </c:spPr>
          <c:marker>
            <c:symbol val="none"/>
          </c:marker>
          <c:cat>
            <c:numRef>
              <c:f>'Burndown sprint'!$A$3:$A$18</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sprint'!$H$3:$H$18</c:f>
              <c:numCache>
                <c:formatCode>General</c:formatCode>
                <c:ptCount val="16"/>
                <c:pt idx="0">
                  <c:v>67</c:v>
                </c:pt>
              </c:numCache>
              <c:extLst/>
            </c:numRef>
          </c:val>
          <c:smooth val="0"/>
          <c:extLst>
            <c:ext xmlns:c16="http://schemas.microsoft.com/office/drawing/2014/chart" uri="{C3380CC4-5D6E-409C-BE32-E72D297353CC}">
              <c16:uniqueId val="{00000008-3581-49E5-865D-827BDDF79021}"/>
            </c:ext>
          </c:extLst>
        </c:ser>
        <c:ser>
          <c:idx val="0"/>
          <c:order val="7"/>
          <c:tx>
            <c:strRef>
              <c:f>'Burndown sprint'!$I$2</c:f>
              <c:strCache>
                <c:ptCount val="1"/>
                <c:pt idx="0">
                  <c:v>0</c:v>
                </c:pt>
              </c:strCache>
            </c:strRef>
          </c:tx>
          <c:spPr>
            <a:ln w="28575" cap="rnd">
              <a:solidFill>
                <a:schemeClr val="tx1"/>
              </a:solidFill>
              <a:round/>
            </a:ln>
            <a:effectLst/>
          </c:spPr>
          <c:marker>
            <c:symbol val="none"/>
          </c:marker>
          <c:cat>
            <c:numRef>
              <c:f>'Burndown sprint'!$A$3:$A$18</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sprint'!$I$3:$I$18</c:f>
              <c:numCache>
                <c:formatCode>General</c:formatCode>
                <c:ptCount val="16"/>
                <c:pt idx="0">
                  <c:v>67</c:v>
                </c:pt>
              </c:numCache>
              <c:extLst/>
            </c:numRef>
          </c:val>
          <c:smooth val="0"/>
          <c:extLst>
            <c:ext xmlns:c16="http://schemas.microsoft.com/office/drawing/2014/chart" uri="{C3380CC4-5D6E-409C-BE32-E72D297353CC}">
              <c16:uniqueId val="{0000000A-3581-49E5-865D-827BDDF79021}"/>
            </c:ext>
          </c:extLst>
        </c:ser>
        <c:dLbls>
          <c:showLegendKey val="0"/>
          <c:showVal val="0"/>
          <c:showCatName val="0"/>
          <c:showSerName val="0"/>
          <c:showPercent val="0"/>
          <c:showBubbleSize val="0"/>
        </c:dLbls>
        <c:smooth val="0"/>
        <c:axId val="1021148000"/>
        <c:axId val="1021148656"/>
      </c:lineChart>
      <c:catAx>
        <c:axId val="10211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48656"/>
        <c:crosses val="autoZero"/>
        <c:auto val="1"/>
        <c:lblAlgn val="ctr"/>
        <c:lblOffset val="100"/>
        <c:noMultiLvlLbl val="0"/>
      </c:catAx>
      <c:valAx>
        <c:axId val="102114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48000"/>
        <c:crosses val="autoZero"/>
        <c:crossBetween val="between"/>
      </c:valAx>
      <c:spPr>
        <a:noFill/>
        <a:ln>
          <a:noFill/>
        </a:ln>
        <a:effectLst/>
      </c:spPr>
    </c:plotArea>
    <c:legend>
      <c:legendPos val="b"/>
      <c:layout>
        <c:manualLayout>
          <c:xMode val="edge"/>
          <c:yMode val="edge"/>
          <c:x val="0.77750525761317646"/>
          <c:y val="0.15531431667488266"/>
          <c:w val="0.22249474238682351"/>
          <c:h val="0.64269626195202745"/>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Burndown</a:t>
            </a:r>
            <a:r>
              <a:rPr lang="nl-NL" baseline="0"/>
              <a:t> sprint 2</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5.1052468281720373E-2"/>
          <c:y val="0.17171296296296296"/>
          <c:w val="0.74021483736258209"/>
          <c:h val="0.73824766695829691"/>
        </c:manualLayout>
      </c:layout>
      <c:lineChart>
        <c:grouping val="standard"/>
        <c:varyColors val="0"/>
        <c:ser>
          <c:idx val="3"/>
          <c:order val="0"/>
          <c:tx>
            <c:strRef>
              <c:f>'Burndown sprint'!$B$51</c:f>
              <c:strCache>
                <c:ptCount val="1"/>
                <c:pt idx="0">
                  <c:v>Ideaal</c:v>
                </c:pt>
              </c:strCache>
            </c:strRef>
          </c:tx>
          <c:spPr>
            <a:ln w="28575" cap="rnd">
              <a:solidFill>
                <a:schemeClr val="bg1">
                  <a:lumMod val="50000"/>
                </a:schemeClr>
              </a:solidFill>
              <a:prstDash val="sysDot"/>
              <a:round/>
            </a:ln>
            <a:effectLst/>
          </c:spPr>
          <c:marker>
            <c:symbol val="none"/>
          </c:marker>
          <c:cat>
            <c:numRef>
              <c:f>'Burndown sprint'!$A$52:$A$68</c:f>
              <c:numCache>
                <c:formatCode>General</c:formatCode>
                <c:ptCount val="17"/>
                <c:pt idx="0">
                  <c:v>0</c:v>
                </c:pt>
                <c:pt idx="1">
                  <c:v>1</c:v>
                </c:pt>
                <c:pt idx="2">
                  <c:v>2</c:v>
                </c:pt>
                <c:pt idx="3">
                  <c:v>3</c:v>
                </c:pt>
                <c:pt idx="4">
                  <c:v>4</c:v>
                </c:pt>
                <c:pt idx="5">
                  <c:v>5</c:v>
                </c:pt>
                <c:pt idx="6">
                  <c:v>6</c:v>
                </c:pt>
                <c:pt idx="7">
                  <c:v>7</c:v>
                </c:pt>
                <c:pt idx="8">
                  <c:v>8</c:v>
                </c:pt>
                <c:pt idx="9">
                  <c:v>9</c:v>
                </c:pt>
                <c:pt idx="10">
                  <c:v>10</c:v>
                </c:pt>
              </c:numCache>
            </c:numRef>
          </c:cat>
          <c:val>
            <c:numRef>
              <c:f>'Burndown sprint'!$B$52:$B$67</c:f>
              <c:numCache>
                <c:formatCode>General</c:formatCode>
                <c:ptCount val="16"/>
                <c:pt idx="0" formatCode="0">
                  <c:v>44</c:v>
                </c:pt>
                <c:pt idx="1">
                  <c:v>7.2</c:v>
                </c:pt>
                <c:pt idx="2">
                  <c:v>6.4</c:v>
                </c:pt>
                <c:pt idx="3">
                  <c:v>5.6</c:v>
                </c:pt>
                <c:pt idx="4">
                  <c:v>4.8</c:v>
                </c:pt>
                <c:pt idx="5">
                  <c:v>4</c:v>
                </c:pt>
                <c:pt idx="6">
                  <c:v>3.2</c:v>
                </c:pt>
                <c:pt idx="7">
                  <c:v>2.4</c:v>
                </c:pt>
                <c:pt idx="8">
                  <c:v>1.6</c:v>
                </c:pt>
                <c:pt idx="9">
                  <c:v>0.8</c:v>
                </c:pt>
                <c:pt idx="10">
                  <c:v>0</c:v>
                </c:pt>
              </c:numCache>
            </c:numRef>
          </c:val>
          <c:smooth val="0"/>
          <c:extLst>
            <c:ext xmlns:c16="http://schemas.microsoft.com/office/drawing/2014/chart" uri="{C3380CC4-5D6E-409C-BE32-E72D297353CC}">
              <c16:uniqueId val="{00000001-A152-4AFF-9549-288F736C5F37}"/>
            </c:ext>
          </c:extLst>
        </c:ser>
        <c:ser>
          <c:idx val="4"/>
          <c:order val="1"/>
          <c:tx>
            <c:strRef>
              <c:f>'Burndown sprint'!$C$51</c:f>
              <c:strCache>
                <c:ptCount val="1"/>
                <c:pt idx="0">
                  <c:v>0</c:v>
                </c:pt>
              </c:strCache>
            </c:strRef>
          </c:tx>
          <c:spPr>
            <a:ln w="28575" cap="rnd">
              <a:solidFill>
                <a:srgbClr val="FF0000"/>
              </a:solidFill>
              <a:round/>
            </a:ln>
            <a:effectLst/>
          </c:spPr>
          <c:marker>
            <c:symbol val="none"/>
          </c:marker>
          <c:cat>
            <c:numRef>
              <c:f>'Burndown sprint'!$A$52:$A$68</c:f>
              <c:numCache>
                <c:formatCode>General</c:formatCode>
                <c:ptCount val="17"/>
                <c:pt idx="0">
                  <c:v>0</c:v>
                </c:pt>
                <c:pt idx="1">
                  <c:v>1</c:v>
                </c:pt>
                <c:pt idx="2">
                  <c:v>2</c:v>
                </c:pt>
                <c:pt idx="3">
                  <c:v>3</c:v>
                </c:pt>
                <c:pt idx="4">
                  <c:v>4</c:v>
                </c:pt>
                <c:pt idx="5">
                  <c:v>5</c:v>
                </c:pt>
                <c:pt idx="6">
                  <c:v>6</c:v>
                </c:pt>
                <c:pt idx="7">
                  <c:v>7</c:v>
                </c:pt>
                <c:pt idx="8">
                  <c:v>8</c:v>
                </c:pt>
                <c:pt idx="9">
                  <c:v>9</c:v>
                </c:pt>
                <c:pt idx="10">
                  <c:v>10</c:v>
                </c:pt>
              </c:numCache>
            </c:numRef>
          </c:cat>
          <c:val>
            <c:numRef>
              <c:f>'Burndown sprint'!$C$52:$C$67</c:f>
              <c:numCache>
                <c:formatCode>General</c:formatCode>
                <c:ptCount val="16"/>
                <c:pt idx="0">
                  <c:v>44</c:v>
                </c:pt>
              </c:numCache>
            </c:numRef>
          </c:val>
          <c:smooth val="0"/>
          <c:extLst>
            <c:ext xmlns:c16="http://schemas.microsoft.com/office/drawing/2014/chart" uri="{C3380CC4-5D6E-409C-BE32-E72D297353CC}">
              <c16:uniqueId val="{00000002-A152-4AFF-9549-288F736C5F37}"/>
            </c:ext>
          </c:extLst>
        </c:ser>
        <c:ser>
          <c:idx val="5"/>
          <c:order val="2"/>
          <c:tx>
            <c:strRef>
              <c:f>'Burndown sprint'!$D$51</c:f>
              <c:strCache>
                <c:ptCount val="1"/>
                <c:pt idx="0">
                  <c:v>0</c:v>
                </c:pt>
              </c:strCache>
            </c:strRef>
          </c:tx>
          <c:spPr>
            <a:ln w="28575" cap="rnd">
              <a:solidFill>
                <a:srgbClr val="FFC000"/>
              </a:solidFill>
              <a:round/>
            </a:ln>
            <a:effectLst/>
          </c:spPr>
          <c:marker>
            <c:symbol val="none"/>
          </c:marker>
          <c:cat>
            <c:numRef>
              <c:f>'Burndown sprint'!$A$52:$A$68</c:f>
              <c:numCache>
                <c:formatCode>General</c:formatCode>
                <c:ptCount val="17"/>
                <c:pt idx="0">
                  <c:v>0</c:v>
                </c:pt>
                <c:pt idx="1">
                  <c:v>1</c:v>
                </c:pt>
                <c:pt idx="2">
                  <c:v>2</c:v>
                </c:pt>
                <c:pt idx="3">
                  <c:v>3</c:v>
                </c:pt>
                <c:pt idx="4">
                  <c:v>4</c:v>
                </c:pt>
                <c:pt idx="5">
                  <c:v>5</c:v>
                </c:pt>
                <c:pt idx="6">
                  <c:v>6</c:v>
                </c:pt>
                <c:pt idx="7">
                  <c:v>7</c:v>
                </c:pt>
                <c:pt idx="8">
                  <c:v>8</c:v>
                </c:pt>
                <c:pt idx="9">
                  <c:v>9</c:v>
                </c:pt>
                <c:pt idx="10">
                  <c:v>10</c:v>
                </c:pt>
              </c:numCache>
            </c:numRef>
          </c:cat>
          <c:val>
            <c:numRef>
              <c:f>'Burndown sprint'!$D$52:$D$67</c:f>
              <c:numCache>
                <c:formatCode>General</c:formatCode>
                <c:ptCount val="16"/>
                <c:pt idx="0">
                  <c:v>44</c:v>
                </c:pt>
              </c:numCache>
            </c:numRef>
          </c:val>
          <c:smooth val="0"/>
          <c:extLst>
            <c:ext xmlns:c16="http://schemas.microsoft.com/office/drawing/2014/chart" uri="{C3380CC4-5D6E-409C-BE32-E72D297353CC}">
              <c16:uniqueId val="{00000003-A152-4AFF-9549-288F736C5F37}"/>
            </c:ext>
          </c:extLst>
        </c:ser>
        <c:ser>
          <c:idx val="6"/>
          <c:order val="3"/>
          <c:tx>
            <c:strRef>
              <c:f>'Burndown sprint'!$E$51</c:f>
              <c:strCache>
                <c:ptCount val="1"/>
                <c:pt idx="0">
                  <c:v>0</c:v>
                </c:pt>
              </c:strCache>
            </c:strRef>
          </c:tx>
          <c:spPr>
            <a:ln w="28575" cap="rnd">
              <a:solidFill>
                <a:srgbClr val="92D050"/>
              </a:solidFill>
              <a:round/>
            </a:ln>
            <a:effectLst/>
          </c:spPr>
          <c:marker>
            <c:symbol val="none"/>
          </c:marker>
          <c:cat>
            <c:numRef>
              <c:f>'Burndown sprint'!$A$52:$A$68</c:f>
              <c:numCache>
                <c:formatCode>General</c:formatCode>
                <c:ptCount val="17"/>
                <c:pt idx="0">
                  <c:v>0</c:v>
                </c:pt>
                <c:pt idx="1">
                  <c:v>1</c:v>
                </c:pt>
                <c:pt idx="2">
                  <c:v>2</c:v>
                </c:pt>
                <c:pt idx="3">
                  <c:v>3</c:v>
                </c:pt>
                <c:pt idx="4">
                  <c:v>4</c:v>
                </c:pt>
                <c:pt idx="5">
                  <c:v>5</c:v>
                </c:pt>
                <c:pt idx="6">
                  <c:v>6</c:v>
                </c:pt>
                <c:pt idx="7">
                  <c:v>7</c:v>
                </c:pt>
                <c:pt idx="8">
                  <c:v>8</c:v>
                </c:pt>
                <c:pt idx="9">
                  <c:v>9</c:v>
                </c:pt>
                <c:pt idx="10">
                  <c:v>10</c:v>
                </c:pt>
              </c:numCache>
            </c:numRef>
          </c:cat>
          <c:val>
            <c:numRef>
              <c:f>'Burndown sprint'!$E$52:$E$67</c:f>
              <c:numCache>
                <c:formatCode>General</c:formatCode>
                <c:ptCount val="16"/>
                <c:pt idx="0">
                  <c:v>44</c:v>
                </c:pt>
              </c:numCache>
            </c:numRef>
          </c:val>
          <c:smooth val="0"/>
          <c:extLst>
            <c:ext xmlns:c16="http://schemas.microsoft.com/office/drawing/2014/chart" uri="{C3380CC4-5D6E-409C-BE32-E72D297353CC}">
              <c16:uniqueId val="{00000004-A152-4AFF-9549-288F736C5F37}"/>
            </c:ext>
          </c:extLst>
        </c:ser>
        <c:ser>
          <c:idx val="7"/>
          <c:order val="4"/>
          <c:tx>
            <c:strRef>
              <c:f>'Burndown sprint'!$F$51</c:f>
              <c:strCache>
                <c:ptCount val="1"/>
                <c:pt idx="0">
                  <c:v>0</c:v>
                </c:pt>
              </c:strCache>
            </c:strRef>
          </c:tx>
          <c:spPr>
            <a:ln w="28575" cap="rnd">
              <a:solidFill>
                <a:srgbClr val="00B0F0"/>
              </a:solidFill>
              <a:round/>
            </a:ln>
            <a:effectLst/>
          </c:spPr>
          <c:marker>
            <c:symbol val="none"/>
          </c:marker>
          <c:cat>
            <c:numRef>
              <c:f>'Burndown sprint'!$A$52:$A$68</c:f>
              <c:numCache>
                <c:formatCode>General</c:formatCode>
                <c:ptCount val="17"/>
                <c:pt idx="0">
                  <c:v>0</c:v>
                </c:pt>
                <c:pt idx="1">
                  <c:v>1</c:v>
                </c:pt>
                <c:pt idx="2">
                  <c:v>2</c:v>
                </c:pt>
                <c:pt idx="3">
                  <c:v>3</c:v>
                </c:pt>
                <c:pt idx="4">
                  <c:v>4</c:v>
                </c:pt>
                <c:pt idx="5">
                  <c:v>5</c:v>
                </c:pt>
                <c:pt idx="6">
                  <c:v>6</c:v>
                </c:pt>
                <c:pt idx="7">
                  <c:v>7</c:v>
                </c:pt>
                <c:pt idx="8">
                  <c:v>8</c:v>
                </c:pt>
                <c:pt idx="9">
                  <c:v>9</c:v>
                </c:pt>
                <c:pt idx="10">
                  <c:v>10</c:v>
                </c:pt>
              </c:numCache>
            </c:numRef>
          </c:cat>
          <c:val>
            <c:numRef>
              <c:f>'Burndown sprint'!$F$52:$F$67</c:f>
              <c:numCache>
                <c:formatCode>General</c:formatCode>
                <c:ptCount val="16"/>
                <c:pt idx="0">
                  <c:v>44</c:v>
                </c:pt>
              </c:numCache>
            </c:numRef>
          </c:val>
          <c:smooth val="0"/>
          <c:extLst>
            <c:ext xmlns:c16="http://schemas.microsoft.com/office/drawing/2014/chart" uri="{C3380CC4-5D6E-409C-BE32-E72D297353CC}">
              <c16:uniqueId val="{00000005-A152-4AFF-9549-288F736C5F37}"/>
            </c:ext>
          </c:extLst>
        </c:ser>
        <c:ser>
          <c:idx val="8"/>
          <c:order val="5"/>
          <c:tx>
            <c:strRef>
              <c:f>'Burndown sprint'!$G$51</c:f>
              <c:strCache>
                <c:ptCount val="1"/>
                <c:pt idx="0">
                  <c:v>0</c:v>
                </c:pt>
              </c:strCache>
            </c:strRef>
          </c:tx>
          <c:spPr>
            <a:ln w="28575" cap="rnd">
              <a:solidFill>
                <a:srgbClr val="7030A0"/>
              </a:solidFill>
              <a:round/>
            </a:ln>
            <a:effectLst/>
          </c:spPr>
          <c:marker>
            <c:symbol val="none"/>
          </c:marker>
          <c:cat>
            <c:numRef>
              <c:f>'Burndown sprint'!$A$52:$A$68</c:f>
              <c:numCache>
                <c:formatCode>General</c:formatCode>
                <c:ptCount val="17"/>
                <c:pt idx="0">
                  <c:v>0</c:v>
                </c:pt>
                <c:pt idx="1">
                  <c:v>1</c:v>
                </c:pt>
                <c:pt idx="2">
                  <c:v>2</c:v>
                </c:pt>
                <c:pt idx="3">
                  <c:v>3</c:v>
                </c:pt>
                <c:pt idx="4">
                  <c:v>4</c:v>
                </c:pt>
                <c:pt idx="5">
                  <c:v>5</c:v>
                </c:pt>
                <c:pt idx="6">
                  <c:v>6</c:v>
                </c:pt>
                <c:pt idx="7">
                  <c:v>7</c:v>
                </c:pt>
                <c:pt idx="8">
                  <c:v>8</c:v>
                </c:pt>
                <c:pt idx="9">
                  <c:v>9</c:v>
                </c:pt>
                <c:pt idx="10">
                  <c:v>10</c:v>
                </c:pt>
              </c:numCache>
            </c:numRef>
          </c:cat>
          <c:val>
            <c:numRef>
              <c:f>'Burndown sprint'!$G$52:$G$67</c:f>
              <c:numCache>
                <c:formatCode>General</c:formatCode>
                <c:ptCount val="16"/>
                <c:pt idx="0">
                  <c:v>44</c:v>
                </c:pt>
              </c:numCache>
            </c:numRef>
          </c:val>
          <c:smooth val="0"/>
          <c:extLst>
            <c:ext xmlns:c16="http://schemas.microsoft.com/office/drawing/2014/chart" uri="{C3380CC4-5D6E-409C-BE32-E72D297353CC}">
              <c16:uniqueId val="{00000006-A152-4AFF-9549-288F736C5F37}"/>
            </c:ext>
          </c:extLst>
        </c:ser>
        <c:ser>
          <c:idx val="0"/>
          <c:order val="6"/>
          <c:tx>
            <c:strRef>
              <c:f>'Burndown sprint'!$H$51</c:f>
              <c:strCache>
                <c:ptCount val="1"/>
                <c:pt idx="0">
                  <c:v>0</c:v>
                </c:pt>
              </c:strCache>
            </c:strRef>
          </c:tx>
          <c:spPr>
            <a:ln w="28575" cap="rnd">
              <a:solidFill>
                <a:srgbClr val="FFFF00"/>
              </a:solidFill>
              <a:round/>
            </a:ln>
            <a:effectLst/>
          </c:spPr>
          <c:marker>
            <c:symbol val="none"/>
          </c:marker>
          <c:cat>
            <c:numRef>
              <c:f>'Burndown sprint'!$A$52:$A$68</c:f>
              <c:numCache>
                <c:formatCode>General</c:formatCode>
                <c:ptCount val="17"/>
                <c:pt idx="0">
                  <c:v>0</c:v>
                </c:pt>
                <c:pt idx="1">
                  <c:v>1</c:v>
                </c:pt>
                <c:pt idx="2">
                  <c:v>2</c:v>
                </c:pt>
                <c:pt idx="3">
                  <c:v>3</c:v>
                </c:pt>
                <c:pt idx="4">
                  <c:v>4</c:v>
                </c:pt>
                <c:pt idx="5">
                  <c:v>5</c:v>
                </c:pt>
                <c:pt idx="6">
                  <c:v>6</c:v>
                </c:pt>
                <c:pt idx="7">
                  <c:v>7</c:v>
                </c:pt>
                <c:pt idx="8">
                  <c:v>8</c:v>
                </c:pt>
                <c:pt idx="9">
                  <c:v>9</c:v>
                </c:pt>
                <c:pt idx="10">
                  <c:v>10</c:v>
                </c:pt>
              </c:numCache>
            </c:numRef>
          </c:cat>
          <c:val>
            <c:numRef>
              <c:f>'Burndown sprint'!$H$52:$H$67</c:f>
              <c:numCache>
                <c:formatCode>General</c:formatCode>
                <c:ptCount val="16"/>
                <c:pt idx="0">
                  <c:v>44</c:v>
                </c:pt>
              </c:numCache>
            </c:numRef>
          </c:val>
          <c:smooth val="0"/>
          <c:extLst>
            <c:ext xmlns:c16="http://schemas.microsoft.com/office/drawing/2014/chart" uri="{C3380CC4-5D6E-409C-BE32-E72D297353CC}">
              <c16:uniqueId val="{00000007-A152-4AFF-9549-288F736C5F37}"/>
            </c:ext>
          </c:extLst>
        </c:ser>
        <c:ser>
          <c:idx val="1"/>
          <c:order val="7"/>
          <c:tx>
            <c:strRef>
              <c:f>'Burndown sprint'!$I$51</c:f>
              <c:strCache>
                <c:ptCount val="1"/>
                <c:pt idx="0">
                  <c:v>0</c:v>
                </c:pt>
              </c:strCache>
            </c:strRef>
          </c:tx>
          <c:spPr>
            <a:ln w="28575" cap="rnd">
              <a:solidFill>
                <a:schemeClr val="tx1"/>
              </a:solidFill>
              <a:round/>
            </a:ln>
            <a:effectLst/>
          </c:spPr>
          <c:marker>
            <c:symbol val="none"/>
          </c:marker>
          <c:cat>
            <c:numRef>
              <c:f>'Burndown sprint'!$A$52:$A$68</c:f>
              <c:numCache>
                <c:formatCode>General</c:formatCode>
                <c:ptCount val="17"/>
                <c:pt idx="0">
                  <c:v>0</c:v>
                </c:pt>
                <c:pt idx="1">
                  <c:v>1</c:v>
                </c:pt>
                <c:pt idx="2">
                  <c:v>2</c:v>
                </c:pt>
                <c:pt idx="3">
                  <c:v>3</c:v>
                </c:pt>
                <c:pt idx="4">
                  <c:v>4</c:v>
                </c:pt>
                <c:pt idx="5">
                  <c:v>5</c:v>
                </c:pt>
                <c:pt idx="6">
                  <c:v>6</c:v>
                </c:pt>
                <c:pt idx="7">
                  <c:v>7</c:v>
                </c:pt>
                <c:pt idx="8">
                  <c:v>8</c:v>
                </c:pt>
                <c:pt idx="9">
                  <c:v>9</c:v>
                </c:pt>
                <c:pt idx="10">
                  <c:v>10</c:v>
                </c:pt>
              </c:numCache>
            </c:numRef>
          </c:cat>
          <c:val>
            <c:numRef>
              <c:f>'Burndown sprint'!$I$52:$I$67</c:f>
              <c:numCache>
                <c:formatCode>General</c:formatCode>
                <c:ptCount val="16"/>
                <c:pt idx="0">
                  <c:v>44</c:v>
                </c:pt>
              </c:numCache>
            </c:numRef>
          </c:val>
          <c:smooth val="0"/>
          <c:extLst>
            <c:ext xmlns:c16="http://schemas.microsoft.com/office/drawing/2014/chart" uri="{C3380CC4-5D6E-409C-BE32-E72D297353CC}">
              <c16:uniqueId val="{00000009-A152-4AFF-9549-288F736C5F37}"/>
            </c:ext>
          </c:extLst>
        </c:ser>
        <c:dLbls>
          <c:showLegendKey val="0"/>
          <c:showVal val="0"/>
          <c:showCatName val="0"/>
          <c:showSerName val="0"/>
          <c:showPercent val="0"/>
          <c:showBubbleSize val="0"/>
        </c:dLbls>
        <c:smooth val="0"/>
        <c:axId val="1021148000"/>
        <c:axId val="1021148656"/>
      </c:lineChart>
      <c:catAx>
        <c:axId val="10211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48656"/>
        <c:crosses val="autoZero"/>
        <c:auto val="1"/>
        <c:lblAlgn val="ctr"/>
        <c:lblOffset val="100"/>
        <c:noMultiLvlLbl val="0"/>
      </c:catAx>
      <c:valAx>
        <c:axId val="102114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48000"/>
        <c:crosses val="autoZero"/>
        <c:crossBetween val="between"/>
      </c:valAx>
      <c:spPr>
        <a:noFill/>
        <a:ln>
          <a:noFill/>
        </a:ln>
        <a:effectLst/>
      </c:spPr>
    </c:plotArea>
    <c:legend>
      <c:legendPos val="b"/>
      <c:layout>
        <c:manualLayout>
          <c:xMode val="edge"/>
          <c:yMode val="edge"/>
          <c:x val="0.78428031160641676"/>
          <c:y val="0.16885076272888014"/>
          <c:w val="0.21571974736034707"/>
          <c:h val="0.7408840461315247"/>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Burndown</a:t>
            </a:r>
            <a:r>
              <a:rPr lang="nl-NL" baseline="0"/>
              <a:t> sprint 3</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5.1052468281720373E-2"/>
          <c:y val="0.17171296296296296"/>
          <c:w val="0.74021483736258209"/>
          <c:h val="0.75602543015456403"/>
        </c:manualLayout>
      </c:layout>
      <c:lineChart>
        <c:grouping val="standard"/>
        <c:varyColors val="0"/>
        <c:ser>
          <c:idx val="1"/>
          <c:order val="0"/>
          <c:tx>
            <c:strRef>
              <c:f>'Burndown sprint'!$B$98</c:f>
              <c:strCache>
                <c:ptCount val="1"/>
                <c:pt idx="0">
                  <c:v>Ideaal</c:v>
                </c:pt>
              </c:strCache>
            </c:strRef>
          </c:tx>
          <c:spPr>
            <a:ln w="28575" cap="rnd">
              <a:solidFill>
                <a:schemeClr val="bg1">
                  <a:lumMod val="50000"/>
                </a:schemeClr>
              </a:solidFill>
              <a:prstDash val="sysDot"/>
              <a:round/>
            </a:ln>
            <a:effectLst/>
          </c:spPr>
          <c:marker>
            <c:symbol val="none"/>
          </c:marker>
          <c:cat>
            <c:numRef>
              <c:f>'Burndown sprint'!$A$99:$A$114</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sprint'!$B$99:$B$114</c:f>
              <c:numCache>
                <c:formatCode>General</c:formatCode>
                <c:ptCount val="16"/>
                <c:pt idx="0" formatCode="0">
                  <c:v>26</c:v>
                </c:pt>
                <c:pt idx="1">
                  <c:v>4.5</c:v>
                </c:pt>
                <c:pt idx="2">
                  <c:v>4</c:v>
                </c:pt>
                <c:pt idx="3">
                  <c:v>3.5</c:v>
                </c:pt>
                <c:pt idx="4">
                  <c:v>3</c:v>
                </c:pt>
                <c:pt idx="5">
                  <c:v>2.5</c:v>
                </c:pt>
                <c:pt idx="6">
                  <c:v>2</c:v>
                </c:pt>
                <c:pt idx="7">
                  <c:v>1.5</c:v>
                </c:pt>
                <c:pt idx="8">
                  <c:v>1</c:v>
                </c:pt>
                <c:pt idx="9">
                  <c:v>0.5</c:v>
                </c:pt>
                <c:pt idx="10">
                  <c:v>0</c:v>
                </c:pt>
              </c:numCache>
            </c:numRef>
          </c:val>
          <c:smooth val="0"/>
          <c:extLst>
            <c:ext xmlns:c16="http://schemas.microsoft.com/office/drawing/2014/chart" uri="{C3380CC4-5D6E-409C-BE32-E72D297353CC}">
              <c16:uniqueId val="{0000000A-70A9-42D9-8AAF-D3FD7D3485A1}"/>
            </c:ext>
          </c:extLst>
        </c:ser>
        <c:ser>
          <c:idx val="2"/>
          <c:order val="1"/>
          <c:tx>
            <c:strRef>
              <c:f>'Burndown sprint'!$C$98</c:f>
              <c:strCache>
                <c:ptCount val="1"/>
                <c:pt idx="0">
                  <c:v>0</c:v>
                </c:pt>
              </c:strCache>
            </c:strRef>
          </c:tx>
          <c:spPr>
            <a:ln w="28575" cap="rnd">
              <a:solidFill>
                <a:srgbClr val="FF0000"/>
              </a:solidFill>
              <a:round/>
            </a:ln>
            <a:effectLst/>
          </c:spPr>
          <c:marker>
            <c:symbol val="none"/>
          </c:marker>
          <c:cat>
            <c:numRef>
              <c:f>'Burndown sprint'!$A$99:$A$114</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sprint'!$C$99:$C$114</c:f>
              <c:numCache>
                <c:formatCode>General</c:formatCode>
                <c:ptCount val="16"/>
                <c:pt idx="0" formatCode="0">
                  <c:v>26</c:v>
                </c:pt>
              </c:numCache>
            </c:numRef>
          </c:val>
          <c:smooth val="0"/>
          <c:extLst>
            <c:ext xmlns:c16="http://schemas.microsoft.com/office/drawing/2014/chart" uri="{C3380CC4-5D6E-409C-BE32-E72D297353CC}">
              <c16:uniqueId val="{0000000B-70A9-42D9-8AAF-D3FD7D3485A1}"/>
            </c:ext>
          </c:extLst>
        </c:ser>
        <c:ser>
          <c:idx val="3"/>
          <c:order val="2"/>
          <c:tx>
            <c:strRef>
              <c:f>'Burndown sprint'!$D$98</c:f>
              <c:strCache>
                <c:ptCount val="1"/>
                <c:pt idx="0">
                  <c:v>0</c:v>
                </c:pt>
              </c:strCache>
            </c:strRef>
          </c:tx>
          <c:spPr>
            <a:ln w="28575" cap="rnd">
              <a:solidFill>
                <a:schemeClr val="accent4"/>
              </a:solidFill>
              <a:round/>
            </a:ln>
            <a:effectLst/>
          </c:spPr>
          <c:marker>
            <c:symbol val="none"/>
          </c:marker>
          <c:cat>
            <c:numRef>
              <c:f>'Burndown sprint'!$A$99:$A$114</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sprint'!$D$99:$D$114</c:f>
              <c:numCache>
                <c:formatCode>General</c:formatCode>
                <c:ptCount val="16"/>
                <c:pt idx="0" formatCode="0">
                  <c:v>26</c:v>
                </c:pt>
              </c:numCache>
            </c:numRef>
          </c:val>
          <c:smooth val="0"/>
          <c:extLst>
            <c:ext xmlns:c16="http://schemas.microsoft.com/office/drawing/2014/chart" uri="{C3380CC4-5D6E-409C-BE32-E72D297353CC}">
              <c16:uniqueId val="{0000000C-70A9-42D9-8AAF-D3FD7D3485A1}"/>
            </c:ext>
          </c:extLst>
        </c:ser>
        <c:ser>
          <c:idx val="4"/>
          <c:order val="3"/>
          <c:tx>
            <c:strRef>
              <c:f>'Burndown sprint'!$E$98</c:f>
              <c:strCache>
                <c:ptCount val="1"/>
                <c:pt idx="0">
                  <c:v>0</c:v>
                </c:pt>
              </c:strCache>
            </c:strRef>
          </c:tx>
          <c:spPr>
            <a:ln w="28575" cap="rnd">
              <a:solidFill>
                <a:srgbClr val="92D050"/>
              </a:solidFill>
              <a:round/>
            </a:ln>
            <a:effectLst/>
          </c:spPr>
          <c:marker>
            <c:symbol val="none"/>
          </c:marker>
          <c:cat>
            <c:numRef>
              <c:f>'Burndown sprint'!$A$99:$A$114</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sprint'!$E$99:$E$114</c:f>
              <c:numCache>
                <c:formatCode>General</c:formatCode>
                <c:ptCount val="16"/>
                <c:pt idx="0" formatCode="0">
                  <c:v>26</c:v>
                </c:pt>
              </c:numCache>
            </c:numRef>
          </c:val>
          <c:smooth val="0"/>
          <c:extLst>
            <c:ext xmlns:c16="http://schemas.microsoft.com/office/drawing/2014/chart" uri="{C3380CC4-5D6E-409C-BE32-E72D297353CC}">
              <c16:uniqueId val="{0000000D-70A9-42D9-8AAF-D3FD7D3485A1}"/>
            </c:ext>
          </c:extLst>
        </c:ser>
        <c:ser>
          <c:idx val="5"/>
          <c:order val="4"/>
          <c:tx>
            <c:strRef>
              <c:f>'Burndown sprint'!$F$98</c:f>
              <c:strCache>
                <c:ptCount val="1"/>
                <c:pt idx="0">
                  <c:v>0</c:v>
                </c:pt>
              </c:strCache>
            </c:strRef>
          </c:tx>
          <c:spPr>
            <a:ln w="28575" cap="rnd">
              <a:solidFill>
                <a:srgbClr val="00B0F0"/>
              </a:solidFill>
              <a:round/>
            </a:ln>
            <a:effectLst/>
          </c:spPr>
          <c:marker>
            <c:symbol val="none"/>
          </c:marker>
          <c:cat>
            <c:numRef>
              <c:f>'Burndown sprint'!$A$99:$A$114</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sprint'!$F$99:$F$114</c:f>
              <c:numCache>
                <c:formatCode>General</c:formatCode>
                <c:ptCount val="16"/>
                <c:pt idx="0" formatCode="0">
                  <c:v>26</c:v>
                </c:pt>
              </c:numCache>
            </c:numRef>
          </c:val>
          <c:smooth val="0"/>
          <c:extLst>
            <c:ext xmlns:c16="http://schemas.microsoft.com/office/drawing/2014/chart" uri="{C3380CC4-5D6E-409C-BE32-E72D297353CC}">
              <c16:uniqueId val="{0000000E-70A9-42D9-8AAF-D3FD7D3485A1}"/>
            </c:ext>
          </c:extLst>
        </c:ser>
        <c:ser>
          <c:idx val="6"/>
          <c:order val="5"/>
          <c:tx>
            <c:strRef>
              <c:f>'Burndown sprint'!$G$98</c:f>
              <c:strCache>
                <c:ptCount val="1"/>
                <c:pt idx="0">
                  <c:v>0</c:v>
                </c:pt>
              </c:strCache>
            </c:strRef>
          </c:tx>
          <c:spPr>
            <a:ln w="28575" cap="rnd">
              <a:solidFill>
                <a:srgbClr val="7030A0"/>
              </a:solidFill>
              <a:round/>
            </a:ln>
            <a:effectLst/>
          </c:spPr>
          <c:marker>
            <c:symbol val="none"/>
          </c:marker>
          <c:cat>
            <c:numRef>
              <c:f>'Burndown sprint'!$A$99:$A$114</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sprint'!$G$99:$G$114</c:f>
              <c:numCache>
                <c:formatCode>General</c:formatCode>
                <c:ptCount val="16"/>
                <c:pt idx="0" formatCode="0">
                  <c:v>26</c:v>
                </c:pt>
              </c:numCache>
            </c:numRef>
          </c:val>
          <c:smooth val="0"/>
          <c:extLst>
            <c:ext xmlns:c16="http://schemas.microsoft.com/office/drawing/2014/chart" uri="{C3380CC4-5D6E-409C-BE32-E72D297353CC}">
              <c16:uniqueId val="{0000000F-70A9-42D9-8AAF-D3FD7D3485A1}"/>
            </c:ext>
          </c:extLst>
        </c:ser>
        <c:ser>
          <c:idx val="7"/>
          <c:order val="6"/>
          <c:tx>
            <c:strRef>
              <c:f>'Burndown sprint'!$H$98</c:f>
              <c:strCache>
                <c:ptCount val="1"/>
                <c:pt idx="0">
                  <c:v>0</c:v>
                </c:pt>
              </c:strCache>
            </c:strRef>
          </c:tx>
          <c:spPr>
            <a:ln w="28575" cap="rnd">
              <a:solidFill>
                <a:srgbClr val="FFFF00"/>
              </a:solidFill>
              <a:round/>
            </a:ln>
            <a:effectLst/>
          </c:spPr>
          <c:marker>
            <c:symbol val="none"/>
          </c:marker>
          <c:cat>
            <c:numRef>
              <c:f>'Burndown sprint'!$A$99:$A$114</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sprint'!$H$99:$H$114</c:f>
              <c:numCache>
                <c:formatCode>General</c:formatCode>
                <c:ptCount val="16"/>
                <c:pt idx="0" formatCode="0">
                  <c:v>26</c:v>
                </c:pt>
              </c:numCache>
            </c:numRef>
          </c:val>
          <c:smooth val="0"/>
          <c:extLst>
            <c:ext xmlns:c16="http://schemas.microsoft.com/office/drawing/2014/chart" uri="{C3380CC4-5D6E-409C-BE32-E72D297353CC}">
              <c16:uniqueId val="{00000010-70A9-42D9-8AAF-D3FD7D3485A1}"/>
            </c:ext>
          </c:extLst>
        </c:ser>
        <c:ser>
          <c:idx val="8"/>
          <c:order val="7"/>
          <c:tx>
            <c:strRef>
              <c:f>'Burndown sprint'!$I$98</c:f>
              <c:strCache>
                <c:ptCount val="1"/>
                <c:pt idx="0">
                  <c:v>0</c:v>
                </c:pt>
              </c:strCache>
            </c:strRef>
          </c:tx>
          <c:spPr>
            <a:ln w="28575" cap="rnd">
              <a:solidFill>
                <a:schemeClr val="tx1"/>
              </a:solidFill>
              <a:round/>
            </a:ln>
            <a:effectLst/>
          </c:spPr>
          <c:marker>
            <c:symbol val="none"/>
          </c:marker>
          <c:cat>
            <c:numRef>
              <c:f>'Burndown sprint'!$A$99:$A$114</c:f>
              <c:numCache>
                <c:formatCode>General</c:formatCode>
                <c:ptCount val="16"/>
                <c:pt idx="0">
                  <c:v>0</c:v>
                </c:pt>
                <c:pt idx="1">
                  <c:v>1</c:v>
                </c:pt>
                <c:pt idx="2">
                  <c:v>2</c:v>
                </c:pt>
                <c:pt idx="3">
                  <c:v>3</c:v>
                </c:pt>
                <c:pt idx="4">
                  <c:v>4</c:v>
                </c:pt>
                <c:pt idx="5">
                  <c:v>5</c:v>
                </c:pt>
                <c:pt idx="6">
                  <c:v>6</c:v>
                </c:pt>
                <c:pt idx="7">
                  <c:v>7</c:v>
                </c:pt>
                <c:pt idx="8">
                  <c:v>8</c:v>
                </c:pt>
                <c:pt idx="9">
                  <c:v>9</c:v>
                </c:pt>
                <c:pt idx="10">
                  <c:v>10</c:v>
                </c:pt>
              </c:numCache>
            </c:numRef>
          </c:cat>
          <c:val>
            <c:numRef>
              <c:f>'Burndown sprint'!$I$99:$I$114</c:f>
              <c:numCache>
                <c:formatCode>General</c:formatCode>
                <c:ptCount val="16"/>
                <c:pt idx="0" formatCode="0">
                  <c:v>26</c:v>
                </c:pt>
              </c:numCache>
            </c:numRef>
          </c:val>
          <c:smooth val="0"/>
          <c:extLst>
            <c:ext xmlns:c16="http://schemas.microsoft.com/office/drawing/2014/chart" uri="{C3380CC4-5D6E-409C-BE32-E72D297353CC}">
              <c16:uniqueId val="{00000011-70A9-42D9-8AAF-D3FD7D3485A1}"/>
            </c:ext>
          </c:extLst>
        </c:ser>
        <c:dLbls>
          <c:showLegendKey val="0"/>
          <c:showVal val="0"/>
          <c:showCatName val="0"/>
          <c:showSerName val="0"/>
          <c:showPercent val="0"/>
          <c:showBubbleSize val="0"/>
        </c:dLbls>
        <c:smooth val="0"/>
        <c:axId val="1021148000"/>
        <c:axId val="1021148656"/>
      </c:lineChart>
      <c:catAx>
        <c:axId val="10211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48656"/>
        <c:crosses val="autoZero"/>
        <c:auto val="1"/>
        <c:lblAlgn val="ctr"/>
        <c:lblOffset val="100"/>
        <c:noMultiLvlLbl val="0"/>
      </c:catAx>
      <c:valAx>
        <c:axId val="102114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148000"/>
        <c:crosses val="autoZero"/>
        <c:crossBetween val="between"/>
      </c:valAx>
      <c:spPr>
        <a:noFill/>
        <a:ln>
          <a:noFill/>
        </a:ln>
        <a:effectLst/>
      </c:spPr>
    </c:plotArea>
    <c:legend>
      <c:legendPos val="b"/>
      <c:layout>
        <c:manualLayout>
          <c:xMode val="edge"/>
          <c:yMode val="edge"/>
          <c:x val="0.79908675799086759"/>
          <c:y val="0.16885076272888014"/>
          <c:w val="0.19939117199391171"/>
          <c:h val="0.76111146106736649"/>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1479550</xdr:colOff>
          <xdr:row>0</xdr:row>
          <xdr:rowOff>95250</xdr:rowOff>
        </xdr:from>
        <xdr:to>
          <xdr:col>1</xdr:col>
          <xdr:colOff>2851150</xdr:colOff>
          <xdr:row>0</xdr:row>
          <xdr:rowOff>666750</xdr:rowOff>
        </xdr:to>
        <xdr:sp macro="" textlink="">
          <xdr:nvSpPr>
            <xdr:cNvPr id="8200" name="Button 8" hidden="1">
              <a:extLst>
                <a:ext uri="{63B3BB69-23CF-44E3-9099-C40C66FF867C}">
                  <a14:compatExt spid="_x0000_s8200"/>
                </a:ext>
                <a:ext uri="{FF2B5EF4-FFF2-40B4-BE49-F238E27FC236}">
                  <a16:creationId xmlns:a16="http://schemas.microsoft.com/office/drawing/2014/main" id="{00000000-0008-0000-0200-000008200000}"/>
                </a:ext>
              </a:extLst>
            </xdr:cNvPr>
            <xdr:cNvSpPr/>
          </xdr:nvSpPr>
          <xdr:spPr bwMode="auto">
            <a:xfrm>
              <a:off x="0" y="0"/>
              <a:ext cx="0" cy="0"/>
            </a:xfrm>
            <a:prstGeom prst="rect">
              <a:avLst/>
            </a:prstGeom>
            <a:noFill/>
            <a:ln w="9525">
              <a:miter lim="800000"/>
              <a:headEnd/>
              <a:tailEnd/>
            </a:ln>
          </xdr:spPr>
          <xdr:txBody>
            <a:bodyPr vertOverflow="clip" wrap="square" lIns="54864" tIns="59436" rIns="54864" bIns="59436" anchor="ctr" upright="1"/>
            <a:lstStyle/>
            <a:p>
              <a:pPr algn="ctr" rtl="0">
                <a:defRPr sz="1000"/>
              </a:pPr>
              <a:r>
                <a:rPr lang="nl-NL" sz="2000" b="0" i="0" u="none" strike="noStrike" baseline="0">
                  <a:solidFill>
                    <a:srgbClr val="000000"/>
                  </a:solidFill>
                  <a:latin typeface="Calibri"/>
                  <a:ea typeface="Calibri"/>
                  <a:cs typeface="Calibri"/>
                </a:rPr>
                <a:t>Sprint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69850</xdr:colOff>
          <xdr:row>0</xdr:row>
          <xdr:rowOff>76200</xdr:rowOff>
        </xdr:from>
        <xdr:to>
          <xdr:col>1</xdr:col>
          <xdr:colOff>114300</xdr:colOff>
          <xdr:row>0</xdr:row>
          <xdr:rowOff>679450</xdr:rowOff>
        </xdr:to>
        <xdr:sp macro="" textlink="">
          <xdr:nvSpPr>
            <xdr:cNvPr id="8201" name="Button 9" hidden="1">
              <a:extLst>
                <a:ext uri="{63B3BB69-23CF-44E3-9099-C40C66FF867C}">
                  <a14:compatExt spid="_x0000_s8201"/>
                </a:ext>
                <a:ext uri="{FF2B5EF4-FFF2-40B4-BE49-F238E27FC236}">
                  <a16:creationId xmlns:a16="http://schemas.microsoft.com/office/drawing/2014/main" id="{00000000-0008-0000-0200-000009200000}"/>
                </a:ext>
              </a:extLst>
            </xdr:cNvPr>
            <xdr:cNvSpPr/>
          </xdr:nvSpPr>
          <xdr:spPr bwMode="auto">
            <a:xfrm>
              <a:off x="0" y="0"/>
              <a:ext cx="0" cy="0"/>
            </a:xfrm>
            <a:prstGeom prst="rect">
              <a:avLst/>
            </a:prstGeom>
            <a:noFill/>
            <a:ln w="9525">
              <a:miter lim="800000"/>
              <a:headEnd/>
              <a:tailEnd/>
            </a:ln>
          </xdr:spPr>
          <xdr:txBody>
            <a:bodyPr vertOverflow="clip" wrap="square" lIns="54864" tIns="59436" rIns="54864" bIns="59436" anchor="ctr" upright="1"/>
            <a:lstStyle/>
            <a:p>
              <a:pPr algn="ctr" rtl="0">
                <a:defRPr sz="1000"/>
              </a:pPr>
              <a:r>
                <a:rPr lang="nl-NL" sz="2000" b="0" i="0" u="none" strike="noStrike" baseline="0">
                  <a:solidFill>
                    <a:srgbClr val="000000"/>
                  </a:solidFill>
                  <a:latin typeface="Calibri"/>
                  <a:ea typeface="Calibri"/>
                  <a:cs typeface="Calibri"/>
                </a:rPr>
                <a: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2933700</xdr:colOff>
          <xdr:row>0</xdr:row>
          <xdr:rowOff>95250</xdr:rowOff>
        </xdr:from>
        <xdr:to>
          <xdr:col>1</xdr:col>
          <xdr:colOff>4298950</xdr:colOff>
          <xdr:row>0</xdr:row>
          <xdr:rowOff>666750</xdr:rowOff>
        </xdr:to>
        <xdr:sp macro="" textlink="">
          <xdr:nvSpPr>
            <xdr:cNvPr id="8203" name="Button 11" hidden="1">
              <a:extLst>
                <a:ext uri="{63B3BB69-23CF-44E3-9099-C40C66FF867C}">
                  <a14:compatExt spid="_x0000_s8203"/>
                </a:ext>
                <a:ext uri="{FF2B5EF4-FFF2-40B4-BE49-F238E27FC236}">
                  <a16:creationId xmlns:a16="http://schemas.microsoft.com/office/drawing/2014/main" id="{00000000-0008-0000-0200-00000B200000}"/>
                </a:ext>
              </a:extLst>
            </xdr:cNvPr>
            <xdr:cNvSpPr/>
          </xdr:nvSpPr>
          <xdr:spPr bwMode="auto">
            <a:xfrm>
              <a:off x="0" y="0"/>
              <a:ext cx="0" cy="0"/>
            </a:xfrm>
            <a:prstGeom prst="rect">
              <a:avLst/>
            </a:prstGeom>
            <a:noFill/>
            <a:ln w="9525">
              <a:miter lim="800000"/>
              <a:headEnd/>
              <a:tailEnd/>
            </a:ln>
          </xdr:spPr>
          <xdr:txBody>
            <a:bodyPr vertOverflow="clip" wrap="square" lIns="54864" tIns="59436" rIns="54864" bIns="59436" anchor="ctr" upright="1"/>
            <a:lstStyle/>
            <a:p>
              <a:pPr algn="ctr" rtl="0">
                <a:defRPr sz="1000"/>
              </a:pPr>
              <a:r>
                <a:rPr lang="nl-NL" sz="2000" b="0" i="0" u="none" strike="noStrike" baseline="0">
                  <a:solidFill>
                    <a:srgbClr val="000000"/>
                  </a:solidFill>
                  <a:latin typeface="Calibri"/>
                  <a:ea typeface="Calibri"/>
                  <a:cs typeface="Calibri"/>
                </a:rPr>
                <a:t>Sprint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266700</xdr:colOff>
          <xdr:row>0</xdr:row>
          <xdr:rowOff>95250</xdr:rowOff>
        </xdr:from>
        <xdr:to>
          <xdr:col>1</xdr:col>
          <xdr:colOff>1390650</xdr:colOff>
          <xdr:row>0</xdr:row>
          <xdr:rowOff>666750</xdr:rowOff>
        </xdr:to>
        <xdr:sp macro="" textlink="">
          <xdr:nvSpPr>
            <xdr:cNvPr id="8207" name="Button 15" hidden="1">
              <a:extLst>
                <a:ext uri="{63B3BB69-23CF-44E3-9099-C40C66FF867C}">
                  <a14:compatExt spid="_x0000_s8207"/>
                </a:ext>
                <a:ext uri="{FF2B5EF4-FFF2-40B4-BE49-F238E27FC236}">
                  <a16:creationId xmlns:a16="http://schemas.microsoft.com/office/drawing/2014/main" id="{00000000-0008-0000-0200-00000F200000}"/>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nl-NL" sz="1400" b="0" i="0" u="none" strike="noStrike" baseline="0">
                  <a:solidFill>
                    <a:srgbClr val="000000"/>
                  </a:solidFill>
                  <a:latin typeface="Calibri"/>
                  <a:ea typeface="Calibri"/>
                  <a:cs typeface="Calibri"/>
                </a:rPr>
                <a:t>Scrumtaak selectie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4375150</xdr:colOff>
          <xdr:row>0</xdr:row>
          <xdr:rowOff>95250</xdr:rowOff>
        </xdr:from>
        <xdr:to>
          <xdr:col>1</xdr:col>
          <xdr:colOff>5746750</xdr:colOff>
          <xdr:row>0</xdr:row>
          <xdr:rowOff>666750</xdr:rowOff>
        </xdr:to>
        <xdr:sp macro="" textlink="">
          <xdr:nvSpPr>
            <xdr:cNvPr id="8209" name="Button 17" hidden="1">
              <a:extLst>
                <a:ext uri="{63B3BB69-23CF-44E3-9099-C40C66FF867C}">
                  <a14:compatExt spid="_x0000_s8209"/>
                </a:ext>
                <a:ext uri="{FF2B5EF4-FFF2-40B4-BE49-F238E27FC236}">
                  <a16:creationId xmlns:a16="http://schemas.microsoft.com/office/drawing/2014/main" id="{00000000-0008-0000-0200-000011200000}"/>
                </a:ext>
              </a:extLst>
            </xdr:cNvPr>
            <xdr:cNvSpPr/>
          </xdr:nvSpPr>
          <xdr:spPr bwMode="auto">
            <a:xfrm>
              <a:off x="0" y="0"/>
              <a:ext cx="0" cy="0"/>
            </a:xfrm>
            <a:prstGeom prst="rect">
              <a:avLst/>
            </a:prstGeom>
            <a:noFill/>
            <a:ln w="9525">
              <a:miter lim="800000"/>
              <a:headEnd/>
              <a:tailEnd/>
            </a:ln>
          </xdr:spPr>
          <xdr:txBody>
            <a:bodyPr vertOverflow="clip" wrap="square" lIns="54864" tIns="59436" rIns="54864" bIns="59436" anchor="ctr" upright="1"/>
            <a:lstStyle/>
            <a:p>
              <a:pPr algn="ctr" rtl="0">
                <a:defRPr sz="1000"/>
              </a:pPr>
              <a:r>
                <a:rPr lang="nl-NL" sz="2000" b="0" i="0" u="none" strike="noStrike" baseline="0">
                  <a:solidFill>
                    <a:srgbClr val="000000"/>
                  </a:solidFill>
                  <a:latin typeface="Calibri"/>
                  <a:ea typeface="Calibri"/>
                  <a:cs typeface="Calibri"/>
                </a:rPr>
                <a:t>Sprint 3</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66676</xdr:colOff>
      <xdr:row>18</xdr:row>
      <xdr:rowOff>47625</xdr:rowOff>
    </xdr:from>
    <xdr:to>
      <xdr:col>15</xdr:col>
      <xdr:colOff>523875</xdr:colOff>
      <xdr:row>47</xdr:row>
      <xdr:rowOff>152400</xdr:rowOff>
    </xdr:to>
    <xdr:graphicFrame macro="">
      <xdr:nvGraphicFramePr>
        <xdr:cNvPr id="3" name="Grafiek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0</xdr:col>
          <xdr:colOff>57150</xdr:colOff>
          <xdr:row>0</xdr:row>
          <xdr:rowOff>69850</xdr:rowOff>
        </xdr:from>
        <xdr:to>
          <xdr:col>2</xdr:col>
          <xdr:colOff>419100</xdr:colOff>
          <xdr:row>0</xdr:row>
          <xdr:rowOff>336550</xdr:rowOff>
        </xdr:to>
        <xdr:sp macro="" textlink="">
          <xdr:nvSpPr>
            <xdr:cNvPr id="11271" name="Button 7" hidden="1">
              <a:extLst>
                <a:ext uri="{63B3BB69-23CF-44E3-9099-C40C66FF867C}">
                  <a14:compatExt spid="_x0000_s11271"/>
                </a:ext>
                <a:ext uri="{FF2B5EF4-FFF2-40B4-BE49-F238E27FC236}">
                  <a16:creationId xmlns:a16="http://schemas.microsoft.com/office/drawing/2014/main" id="{00000000-0008-0000-0300-0000072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nl-NL" sz="1100" b="0" i="0" u="none" strike="noStrike" baseline="0">
                  <a:solidFill>
                    <a:srgbClr val="000000"/>
                  </a:solidFill>
                  <a:latin typeface="Calibri"/>
                  <a:ea typeface="Calibri"/>
                  <a:cs typeface="Calibri"/>
                </a:rPr>
                <a:t>Aantal dagen instellen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38100</xdr:colOff>
          <xdr:row>48</xdr:row>
          <xdr:rowOff>57150</xdr:rowOff>
        </xdr:from>
        <xdr:to>
          <xdr:col>2</xdr:col>
          <xdr:colOff>495300</xdr:colOff>
          <xdr:row>49</xdr:row>
          <xdr:rowOff>247650</xdr:rowOff>
        </xdr:to>
        <xdr:sp macro="" textlink="">
          <xdr:nvSpPr>
            <xdr:cNvPr id="11272" name="Button 8" hidden="1">
              <a:extLst>
                <a:ext uri="{63B3BB69-23CF-44E3-9099-C40C66FF867C}">
                  <a14:compatExt spid="_x0000_s11272"/>
                </a:ext>
                <a:ext uri="{FF2B5EF4-FFF2-40B4-BE49-F238E27FC236}">
                  <a16:creationId xmlns:a16="http://schemas.microsoft.com/office/drawing/2014/main" id="{00000000-0008-0000-0300-0000082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nl-NL" sz="1100" b="0" i="0" u="none" strike="noStrike" baseline="0">
                  <a:solidFill>
                    <a:srgbClr val="000000"/>
                  </a:solidFill>
                  <a:latin typeface="Calibri"/>
                  <a:ea typeface="Calibri"/>
                  <a:cs typeface="Calibri"/>
                </a:rPr>
                <a:t>Aantal dagen instellen</a:t>
              </a:r>
            </a:p>
          </xdr:txBody>
        </xdr:sp>
        <xdr:clientData fPrintsWithSheet="0"/>
      </xdr:twoCellAnchor>
    </mc:Choice>
    <mc:Fallback/>
  </mc:AlternateContent>
  <xdr:twoCellAnchor>
    <xdr:from>
      <xdr:col>0</xdr:col>
      <xdr:colOff>28574</xdr:colOff>
      <xdr:row>67</xdr:row>
      <xdr:rowOff>28576</xdr:rowOff>
    </xdr:from>
    <xdr:to>
      <xdr:col>15</xdr:col>
      <xdr:colOff>561974</xdr:colOff>
      <xdr:row>95</xdr:row>
      <xdr:rowOff>133350</xdr:rowOff>
    </xdr:to>
    <xdr:graphicFrame macro="">
      <xdr:nvGraphicFramePr>
        <xdr:cNvPr id="9" name="Grafiek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0</xdr:col>
          <xdr:colOff>57150</xdr:colOff>
          <xdr:row>96</xdr:row>
          <xdr:rowOff>69850</xdr:rowOff>
        </xdr:from>
        <xdr:to>
          <xdr:col>2</xdr:col>
          <xdr:colOff>533400</xdr:colOff>
          <xdr:row>96</xdr:row>
          <xdr:rowOff>342900</xdr:rowOff>
        </xdr:to>
        <xdr:sp macro="" textlink="">
          <xdr:nvSpPr>
            <xdr:cNvPr id="11273" name="Button 9" hidden="1">
              <a:extLst>
                <a:ext uri="{63B3BB69-23CF-44E3-9099-C40C66FF867C}">
                  <a14:compatExt spid="_x0000_s11273"/>
                </a:ext>
                <a:ext uri="{FF2B5EF4-FFF2-40B4-BE49-F238E27FC236}">
                  <a16:creationId xmlns:a16="http://schemas.microsoft.com/office/drawing/2014/main" id="{00000000-0008-0000-0300-0000092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nl-NL" sz="1100" b="0" i="0" u="none" strike="noStrike" baseline="0">
                  <a:solidFill>
                    <a:srgbClr val="000000"/>
                  </a:solidFill>
                  <a:latin typeface="Calibri"/>
                  <a:ea typeface="Calibri"/>
                  <a:cs typeface="Calibri"/>
                </a:rPr>
                <a:t>Aantal dagen instellen</a:t>
              </a:r>
            </a:p>
          </xdr:txBody>
        </xdr:sp>
        <xdr:clientData fPrintsWithSheet="0"/>
      </xdr:twoCellAnchor>
    </mc:Choice>
    <mc:Fallback/>
  </mc:AlternateContent>
  <xdr:twoCellAnchor>
    <xdr:from>
      <xdr:col>0</xdr:col>
      <xdr:colOff>38100</xdr:colOff>
      <xdr:row>114</xdr:row>
      <xdr:rowOff>85725</xdr:rowOff>
    </xdr:from>
    <xdr:to>
      <xdr:col>15</xdr:col>
      <xdr:colOff>581025</xdr:colOff>
      <xdr:row>146</xdr:row>
      <xdr:rowOff>85725</xdr:rowOff>
    </xdr:to>
    <xdr:graphicFrame macro="">
      <xdr:nvGraphicFramePr>
        <xdr:cNvPr id="11" name="Grafiek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F6590F-87DF-4F2A-A56A-DEDC3FF2ED5D}" name="Act_Sprint_Pnt" displayName="Act_Sprint_Pnt" ref="A2:H292" totalsRowShown="0" headerRowDxfId="10" dataDxfId="9" tableBorderDxfId="8">
  <autoFilter ref="A2:H292" xr:uid="{D27B0498-70E1-47ED-A780-0FDD6351072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E112738-1E3F-493D-A31E-9C2FA46F06A9}" name="Taak Nr" dataDxfId="7"/>
    <tableColumn id="12" xr3:uid="{652AFE3A-DD0F-4946-A3B4-05244BC2A991}" name="Activiteit /  Userstory" dataDxfId="6"/>
    <tableColumn id="4" xr3:uid="{DC08C875-A339-4DE4-B5F9-A15790D8773E}" name="Sprint" dataDxfId="5"/>
    <tableColumn id="2" xr3:uid="{E74F0958-F224-4373-954D-0BC072D39385}" name="Punten" dataDxfId="4"/>
    <tableColumn id="5" xr3:uid="{B7F62753-0465-4E2A-B391-B65A2F19C7F4}" name="Wie" dataDxfId="3"/>
    <tableColumn id="6" xr3:uid="{E56BFF13-7495-4721-BB0A-FB307B006A2F}" name="Duur" dataDxfId="2"/>
    <tableColumn id="7" xr3:uid="{CD6F92B3-2309-40DC-A2CD-71F139F1B9D7}" name="Opmerkingen" dataDxfId="1"/>
    <tableColumn id="8" xr3:uid="{6B1FDF0A-FDC8-4D8C-91A9-A351C4AE5D72}" name="Gereed"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8.xml"/><Relationship Id="rId5" Type="http://schemas.openxmlformats.org/officeDocument/2006/relationships/ctrlProp" Target="../ctrlProps/ctrlProp7.xml"/><Relationship Id="rId4"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125E-42AC-4196-8BEC-5A92AAB2AFD8}">
  <sheetPr codeName="Blad1"/>
  <dimension ref="A1:A29"/>
  <sheetViews>
    <sheetView zoomScale="80" zoomScaleNormal="80" workbookViewId="0">
      <selection activeCell="A23" sqref="A23"/>
    </sheetView>
  </sheetViews>
  <sheetFormatPr defaultColWidth="8.85546875" defaultRowHeight="14.45"/>
  <cols>
    <col min="1" max="1" width="167" style="11" customWidth="1"/>
    <col min="2" max="16384" width="8.85546875" style="11"/>
  </cols>
  <sheetData>
    <row r="1" spans="1:1" ht="36.75" customHeight="1" thickTop="1" thickBot="1">
      <c r="A1" s="5" t="s">
        <v>0</v>
      </c>
    </row>
    <row r="2" spans="1:1" ht="14.45" customHeight="1" thickTop="1">
      <c r="A2" s="18"/>
    </row>
    <row r="3" spans="1:1" ht="18.600000000000001">
      <c r="A3" s="10" t="s">
        <v>1</v>
      </c>
    </row>
    <row r="4" spans="1:1" ht="18.600000000000001">
      <c r="A4" s="12" t="s">
        <v>2</v>
      </c>
    </row>
    <row r="5" spans="1:1" ht="18.600000000000001">
      <c r="A5" s="10"/>
    </row>
    <row r="6" spans="1:1" ht="18.600000000000001">
      <c r="A6" s="10" t="s">
        <v>3</v>
      </c>
    </row>
    <row r="7" spans="1:1" ht="36.950000000000003">
      <c r="A7" s="10" t="s">
        <v>4</v>
      </c>
    </row>
    <row r="8" spans="1:1" ht="18.600000000000001">
      <c r="A8" s="13"/>
    </row>
    <row r="9" spans="1:1" ht="18.600000000000001">
      <c r="A9" s="14" t="s">
        <v>5</v>
      </c>
    </row>
    <row r="10" spans="1:1" ht="18.600000000000001">
      <c r="A10" s="15" t="s">
        <v>6</v>
      </c>
    </row>
    <row r="11" spans="1:1" ht="18.600000000000001">
      <c r="A11" s="16" t="s">
        <v>7</v>
      </c>
    </row>
    <row r="12" spans="1:1" ht="18.600000000000001">
      <c r="A12" s="14"/>
    </row>
    <row r="13" spans="1:1" ht="18.600000000000001">
      <c r="A13" s="17" t="s">
        <v>8</v>
      </c>
    </row>
    <row r="14" spans="1:1" ht="18.600000000000001">
      <c r="A14" s="15" t="s">
        <v>9</v>
      </c>
    </row>
    <row r="15" spans="1:1" ht="18.600000000000001">
      <c r="A15" s="14"/>
    </row>
    <row r="16" spans="1:1" ht="18.600000000000001">
      <c r="A16" s="14" t="s">
        <v>10</v>
      </c>
    </row>
    <row r="17" spans="1:1" ht="18.600000000000001">
      <c r="A17" s="15" t="s">
        <v>11</v>
      </c>
    </row>
    <row r="18" spans="1:1" ht="18.600000000000001">
      <c r="A18" s="15"/>
    </row>
    <row r="19" spans="1:1" ht="18.600000000000001">
      <c r="A19" s="59" t="s">
        <v>12</v>
      </c>
    </row>
    <row r="20" spans="1:1" ht="18.600000000000001">
      <c r="A20" s="15" t="s">
        <v>13</v>
      </c>
    </row>
    <row r="21" spans="1:1" ht="18.600000000000001">
      <c r="A21" s="14"/>
    </row>
    <row r="22" spans="1:1" ht="18.600000000000001">
      <c r="A22" s="10" t="s">
        <v>14</v>
      </c>
    </row>
    <row r="23" spans="1:1" ht="18.600000000000001">
      <c r="A23" s="10" t="s">
        <v>15</v>
      </c>
    </row>
    <row r="25" spans="1:1" ht="18.600000000000001">
      <c r="A25" s="14" t="s">
        <v>16</v>
      </c>
    </row>
    <row r="26" spans="1:1" ht="36.950000000000003">
      <c r="A26" s="19" t="s">
        <v>17</v>
      </c>
    </row>
    <row r="27" spans="1:1" ht="36.950000000000003">
      <c r="A27" s="19" t="s">
        <v>18</v>
      </c>
    </row>
    <row r="28" spans="1:1" ht="18.600000000000001">
      <c r="A28" s="19" t="s">
        <v>19</v>
      </c>
    </row>
    <row r="29" spans="1:1" ht="18.600000000000001">
      <c r="A29" s="19"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A564-35B6-48D8-A389-9EEB029A3E66}">
  <sheetPr codeName="Blad2">
    <tabColor theme="4"/>
    <pageSetUpPr fitToPage="1"/>
  </sheetPr>
  <dimension ref="A1:Q16"/>
  <sheetViews>
    <sheetView zoomScale="110" zoomScaleNormal="110" workbookViewId="0">
      <selection activeCell="J9" sqref="J9"/>
    </sheetView>
  </sheetViews>
  <sheetFormatPr defaultColWidth="8.85546875" defaultRowHeight="14.45"/>
  <cols>
    <col min="1" max="1" width="4.5703125" customWidth="1"/>
    <col min="2" max="2" width="3" customWidth="1"/>
    <col min="3" max="3" width="26.140625" customWidth="1"/>
    <col min="4" max="4" width="12.140625" bestFit="1" customWidth="1"/>
    <col min="5" max="5" width="6.42578125" customWidth="1"/>
    <col min="6" max="6" width="4.140625" customWidth="1"/>
    <col min="7" max="7" width="13.5703125" customWidth="1"/>
    <col min="8" max="8" width="7" customWidth="1"/>
    <col min="9" max="9" width="9.140625" customWidth="1"/>
    <col min="10" max="10" width="12.140625" customWidth="1"/>
    <col min="11" max="11" width="13.140625" bestFit="1" customWidth="1"/>
    <col min="12" max="12" width="7.5703125" customWidth="1"/>
    <col min="13" max="13" width="11.85546875" customWidth="1"/>
    <col min="14" max="14" width="7.5703125" customWidth="1"/>
    <col min="15" max="15" width="11.5703125" bestFit="1" customWidth="1"/>
    <col min="16" max="16" width="15.85546875" customWidth="1"/>
  </cols>
  <sheetData>
    <row r="1" spans="1:17" ht="18.95" thickBot="1">
      <c r="A1" s="24"/>
      <c r="B1" s="24"/>
      <c r="C1" s="24"/>
      <c r="D1" s="24"/>
      <c r="E1" s="24"/>
      <c r="F1" s="24"/>
      <c r="G1" s="24"/>
      <c r="H1" s="24"/>
      <c r="I1" s="24"/>
      <c r="J1" s="24"/>
      <c r="K1" s="24"/>
      <c r="L1" s="24"/>
      <c r="M1" s="24"/>
      <c r="N1" s="24"/>
      <c r="O1" s="24"/>
      <c r="P1" s="24"/>
      <c r="Q1" s="24"/>
    </row>
    <row r="2" spans="1:17" ht="18.95" thickTop="1">
      <c r="A2" s="24"/>
      <c r="B2" s="114" t="s">
        <v>21</v>
      </c>
      <c r="C2" s="115"/>
      <c r="D2" s="116"/>
      <c r="E2" s="24"/>
      <c r="F2" s="114" t="s">
        <v>22</v>
      </c>
      <c r="G2" s="115"/>
      <c r="H2" s="115"/>
      <c r="I2" s="115"/>
      <c r="J2" s="115"/>
      <c r="K2" s="116"/>
      <c r="L2" s="53"/>
      <c r="M2" s="54" t="s">
        <v>23</v>
      </c>
      <c r="N2" s="24"/>
      <c r="O2" s="114" t="s">
        <v>24</v>
      </c>
      <c r="P2" s="116"/>
      <c r="Q2" s="24"/>
    </row>
    <row r="3" spans="1:17" ht="21.6" thickBot="1">
      <c r="A3" s="24"/>
      <c r="B3" s="25"/>
      <c r="C3" s="26" t="s">
        <v>25</v>
      </c>
      <c r="D3" s="27" t="s">
        <v>26</v>
      </c>
      <c r="E3" s="24"/>
      <c r="F3" s="28"/>
      <c r="G3" s="29" t="s">
        <v>27</v>
      </c>
      <c r="H3" s="29"/>
      <c r="I3" s="29" t="s">
        <v>28</v>
      </c>
      <c r="J3" s="30" t="s">
        <v>29</v>
      </c>
      <c r="K3" s="30" t="s">
        <v>30</v>
      </c>
      <c r="L3" s="26"/>
      <c r="M3" s="56" t="s">
        <v>31</v>
      </c>
      <c r="N3" s="24"/>
      <c r="O3" s="25">
        <v>0</v>
      </c>
      <c r="P3" s="117" t="s">
        <v>32</v>
      </c>
      <c r="Q3" s="24"/>
    </row>
    <row r="4" spans="1:17" ht="18.95" thickTop="1">
      <c r="A4" s="24"/>
      <c r="B4" s="31">
        <v>1</v>
      </c>
      <c r="C4" s="32"/>
      <c r="D4" s="33"/>
      <c r="E4" s="24"/>
      <c r="F4" s="31">
        <v>1</v>
      </c>
      <c r="G4" s="32" t="s">
        <v>33</v>
      </c>
      <c r="H4" s="20">
        <v>10</v>
      </c>
      <c r="I4" s="32" t="s">
        <v>34</v>
      </c>
      <c r="J4" s="32">
        <f>SUMIFS(Act_Sprint_Pnt[Punten],Act_Sprint_Pnt[Sprint],MID(G4,8,1))</f>
        <v>67</v>
      </c>
      <c r="K4" s="34">
        <f>J4/$J$9</f>
        <v>0.48905109489051096</v>
      </c>
      <c r="L4" s="51"/>
      <c r="M4" s="57">
        <f>ROUNDUP(J4/H4,0)</f>
        <v>7</v>
      </c>
      <c r="N4" s="24"/>
      <c r="O4" s="25">
        <v>0.5</v>
      </c>
      <c r="P4" s="117"/>
      <c r="Q4" s="24"/>
    </row>
    <row r="5" spans="1:17" ht="18.600000000000001">
      <c r="A5" s="24"/>
      <c r="B5" s="35">
        <v>2</v>
      </c>
      <c r="C5" s="21"/>
      <c r="D5" s="22"/>
      <c r="E5" s="24"/>
      <c r="F5" s="35">
        <v>2</v>
      </c>
      <c r="G5" s="36" t="s">
        <v>35</v>
      </c>
      <c r="H5" s="21">
        <v>10</v>
      </c>
      <c r="I5" s="36" t="s">
        <v>34</v>
      </c>
      <c r="J5" s="36">
        <f>SUMIFS(Act_Sprint_Pnt[Punten],Act_Sprint_Pnt[Sprint],MID(G5,8,1))</f>
        <v>44</v>
      </c>
      <c r="K5" s="37">
        <f>J5/$J$9</f>
        <v>0.32116788321167883</v>
      </c>
      <c r="L5" s="51"/>
      <c r="M5" s="58">
        <f t="shared" ref="M5:M6" si="0">ROUNDUP(J5/H5,0)</f>
        <v>5</v>
      </c>
      <c r="N5" s="24"/>
      <c r="O5" s="25">
        <v>1</v>
      </c>
      <c r="P5" s="117"/>
      <c r="Q5" s="24"/>
    </row>
    <row r="6" spans="1:17" ht="18.600000000000001">
      <c r="A6" s="24"/>
      <c r="B6" s="35">
        <v>3</v>
      </c>
      <c r="C6" s="21"/>
      <c r="D6" s="22"/>
      <c r="E6" s="24"/>
      <c r="F6" s="35">
        <v>3</v>
      </c>
      <c r="G6" s="36" t="s">
        <v>36</v>
      </c>
      <c r="H6" s="21">
        <v>10</v>
      </c>
      <c r="I6" s="36" t="s">
        <v>34</v>
      </c>
      <c r="J6" s="36">
        <f>SUMIFS(Act_Sprint_Pnt[Punten],Act_Sprint_Pnt[Sprint],MID(G6,8,1))</f>
        <v>26</v>
      </c>
      <c r="K6" s="37">
        <f>J6/$J$9</f>
        <v>0.18978102189781021</v>
      </c>
      <c r="L6" s="51"/>
      <c r="M6" s="58">
        <f t="shared" si="0"/>
        <v>3</v>
      </c>
      <c r="N6" s="24"/>
      <c r="O6" s="25">
        <v>2</v>
      </c>
      <c r="P6" s="117"/>
      <c r="Q6" s="24"/>
    </row>
    <row r="7" spans="1:17" ht="18.95" thickBot="1">
      <c r="A7" s="24"/>
      <c r="B7" s="35">
        <v>4</v>
      </c>
      <c r="C7" s="21"/>
      <c r="D7" s="22"/>
      <c r="E7" s="24"/>
      <c r="F7" s="38"/>
      <c r="G7" s="39"/>
      <c r="H7" s="39"/>
      <c r="I7" s="40"/>
      <c r="J7" s="41"/>
      <c r="K7" s="42"/>
      <c r="L7" s="24"/>
      <c r="M7" s="55"/>
      <c r="N7" s="24"/>
      <c r="O7" s="25">
        <v>3</v>
      </c>
      <c r="P7" s="117"/>
      <c r="Q7" s="24"/>
    </row>
    <row r="8" spans="1:17" ht="18.95" thickTop="1">
      <c r="A8" s="24"/>
      <c r="B8" s="35">
        <v>5</v>
      </c>
      <c r="C8" s="21"/>
      <c r="D8" s="22"/>
      <c r="E8" s="24"/>
      <c r="F8" s="25"/>
      <c r="G8" s="24"/>
      <c r="H8" s="24"/>
      <c r="I8" s="24"/>
      <c r="J8" s="43"/>
      <c r="K8" s="44"/>
      <c r="N8" s="24"/>
      <c r="O8" s="25">
        <v>5</v>
      </c>
      <c r="P8" s="117"/>
      <c r="Q8" s="24"/>
    </row>
    <row r="9" spans="1:17" ht="18.600000000000001">
      <c r="A9" s="24"/>
      <c r="B9" s="35">
        <v>6</v>
      </c>
      <c r="C9" s="21"/>
      <c r="D9" s="22"/>
      <c r="E9" s="24"/>
      <c r="F9" s="25"/>
      <c r="G9" s="24" t="s">
        <v>37</v>
      </c>
      <c r="H9" s="24"/>
      <c r="I9" s="24"/>
      <c r="J9" s="26">
        <f>SUM(J4:J6)</f>
        <v>137</v>
      </c>
      <c r="K9" s="45">
        <f>SUM(K4:K6)</f>
        <v>1</v>
      </c>
      <c r="L9" s="52"/>
      <c r="M9" s="52"/>
      <c r="N9" s="24"/>
      <c r="O9" s="25">
        <v>8</v>
      </c>
      <c r="P9" s="117"/>
      <c r="Q9" s="24"/>
    </row>
    <row r="10" spans="1:17" ht="18.600000000000001">
      <c r="A10" s="24"/>
      <c r="B10" s="35">
        <v>7</v>
      </c>
      <c r="C10" s="21"/>
      <c r="D10" s="22"/>
      <c r="E10" s="24"/>
      <c r="F10" s="46"/>
      <c r="G10" s="47"/>
      <c r="H10" s="47"/>
      <c r="I10" s="47"/>
      <c r="J10" s="47"/>
      <c r="K10" s="48"/>
      <c r="L10" s="24"/>
      <c r="M10" s="24"/>
      <c r="N10" s="24"/>
      <c r="O10" s="25">
        <v>13</v>
      </c>
      <c r="P10" s="117"/>
      <c r="Q10" s="24"/>
    </row>
    <row r="11" spans="1:17" ht="18.600000000000001">
      <c r="A11" s="24"/>
      <c r="B11" s="35">
        <v>8</v>
      </c>
      <c r="C11" s="21"/>
      <c r="D11" s="22"/>
      <c r="E11" s="24"/>
      <c r="F11" s="24"/>
      <c r="G11" s="24"/>
      <c r="H11" s="24"/>
      <c r="I11" s="24"/>
      <c r="J11" s="24"/>
      <c r="K11" s="24"/>
      <c r="L11" s="24"/>
      <c r="M11" s="24"/>
      <c r="N11" s="24"/>
      <c r="O11" s="25">
        <v>20</v>
      </c>
      <c r="P11" s="117"/>
      <c r="Q11" s="24"/>
    </row>
    <row r="12" spans="1:17" ht="18.600000000000001">
      <c r="A12" s="24"/>
      <c r="B12" s="24"/>
      <c r="C12" s="24"/>
      <c r="D12" s="24"/>
      <c r="E12" s="24"/>
      <c r="F12" s="24"/>
      <c r="G12" s="24"/>
      <c r="H12" s="24"/>
      <c r="I12" s="24"/>
      <c r="J12" s="24"/>
      <c r="K12" s="24"/>
      <c r="L12" s="24"/>
      <c r="M12" s="24"/>
      <c r="N12" s="24"/>
      <c r="O12" s="25">
        <v>40</v>
      </c>
      <c r="P12" s="117"/>
      <c r="Q12" s="24"/>
    </row>
    <row r="13" spans="1:17" ht="18.600000000000001">
      <c r="A13" s="24"/>
      <c r="B13" s="113" t="s">
        <v>38</v>
      </c>
      <c r="C13" s="113"/>
      <c r="D13" s="113"/>
      <c r="E13" s="24"/>
      <c r="F13" s="113" t="s">
        <v>39</v>
      </c>
      <c r="G13" s="113"/>
      <c r="H13" s="113"/>
      <c r="I13" s="113"/>
      <c r="J13" s="113"/>
      <c r="K13" s="113"/>
      <c r="L13" s="112"/>
      <c r="M13" s="112"/>
      <c r="N13" s="24"/>
      <c r="O13" s="46">
        <v>100</v>
      </c>
      <c r="P13" s="118"/>
      <c r="Q13" s="24"/>
    </row>
    <row r="14" spans="1:17" ht="18.600000000000001">
      <c r="A14" s="24"/>
      <c r="B14" s="113" t="s">
        <v>40</v>
      </c>
      <c r="C14" s="113"/>
      <c r="D14" s="113"/>
      <c r="E14" s="24"/>
      <c r="F14" s="49"/>
      <c r="G14" s="24"/>
      <c r="H14" s="24"/>
      <c r="I14" s="24"/>
      <c r="J14" s="24"/>
      <c r="K14" s="24"/>
      <c r="L14" s="24"/>
      <c r="M14" s="24"/>
      <c r="N14" s="24"/>
      <c r="O14" s="24"/>
      <c r="P14" s="24"/>
      <c r="Q14" s="24"/>
    </row>
    <row r="15" spans="1:17" ht="18.600000000000001">
      <c r="A15" s="24"/>
      <c r="E15" s="24"/>
      <c r="F15" s="50"/>
      <c r="G15" s="24"/>
      <c r="H15" s="24"/>
      <c r="I15" s="24"/>
      <c r="J15" s="24"/>
      <c r="K15" s="24"/>
      <c r="L15" s="24"/>
      <c r="M15" s="24"/>
      <c r="N15" s="24"/>
      <c r="O15" s="24"/>
      <c r="P15" s="24"/>
      <c r="Q15" s="24"/>
    </row>
    <row r="16" spans="1:17" ht="18.600000000000001">
      <c r="A16" s="24"/>
      <c r="B16" s="24"/>
      <c r="C16" s="24"/>
      <c r="D16" s="24"/>
      <c r="E16" s="24"/>
      <c r="F16" s="24"/>
      <c r="G16" s="24"/>
      <c r="H16" s="24"/>
      <c r="I16" s="24"/>
      <c r="J16" s="24"/>
      <c r="K16" s="24"/>
      <c r="L16" s="24"/>
      <c r="M16" s="24"/>
      <c r="N16" s="24"/>
      <c r="O16" s="24"/>
      <c r="P16" s="24"/>
      <c r="Q16" s="24"/>
    </row>
  </sheetData>
  <sheetProtection selectLockedCells="1"/>
  <mergeCells count="7">
    <mergeCell ref="B14:D14"/>
    <mergeCell ref="F13:K13"/>
    <mergeCell ref="B2:D2"/>
    <mergeCell ref="F2:K2"/>
    <mergeCell ref="P3:P13"/>
    <mergeCell ref="O2:P2"/>
    <mergeCell ref="B13:D13"/>
  </mergeCells>
  <phoneticPr fontId="5" type="noConversion"/>
  <pageMargins left="0.7" right="0.7" top="0.75" bottom="0.75" header="0.3" footer="0.3"/>
  <pageSetup paperSize="9" fitToHeight="0" orientation="landscape"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31CE-1E11-42C5-A32F-B540151F9C1A}">
  <sheetPr codeName="Blad3">
    <tabColor rgb="FF92D050"/>
    <pageSetUpPr fitToPage="1"/>
  </sheetPr>
  <dimension ref="A1:H10902"/>
  <sheetViews>
    <sheetView tabSelected="1" zoomScaleNormal="100" zoomScalePageLayoutView="85" workbookViewId="0">
      <pane ySplit="2" topLeftCell="A3" activePane="bottomLeft" state="frozen"/>
      <selection pane="bottomLeft" activeCell="B2" sqref="B2"/>
      <selection activeCell="H6" sqref="H6"/>
    </sheetView>
  </sheetViews>
  <sheetFormatPr defaultColWidth="8.85546875" defaultRowHeight="30" customHeight="1"/>
  <cols>
    <col min="1" max="1" width="18.85546875" customWidth="1"/>
    <col min="2" max="2" width="154.28515625" bestFit="1" customWidth="1"/>
    <col min="3" max="3" width="18.140625" style="2" customWidth="1"/>
    <col min="4" max="4" width="15" customWidth="1"/>
    <col min="5" max="5" width="15.140625" customWidth="1"/>
    <col min="6" max="6" width="18.28515625" customWidth="1"/>
    <col min="7" max="7" width="27.28515625" customWidth="1"/>
    <col min="8" max="8" width="11.5703125" customWidth="1"/>
  </cols>
  <sheetData>
    <row r="1" spans="1:8" ht="60" customHeight="1">
      <c r="A1" s="3"/>
      <c r="B1" s="3"/>
      <c r="C1" s="61">
        <f>SUBTOTAL(9,D:D)</f>
        <v>137</v>
      </c>
      <c r="D1" s="119" t="s">
        <v>41</v>
      </c>
      <c r="E1" s="119"/>
      <c r="F1" s="63">
        <f>C1/H1</f>
        <v>1</v>
      </c>
      <c r="G1" s="4" t="s">
        <v>42</v>
      </c>
      <c r="H1" s="62">
        <f>SUM(D:D)</f>
        <v>137</v>
      </c>
    </row>
    <row r="2" spans="1:8" s="1" customFormat="1" ht="21.6" thickBot="1">
      <c r="A2" s="23" t="s">
        <v>43</v>
      </c>
      <c r="B2" s="23" t="s">
        <v>44</v>
      </c>
      <c r="C2" s="23" t="s">
        <v>27</v>
      </c>
      <c r="D2" s="109" t="s">
        <v>29</v>
      </c>
      <c r="E2" s="23" t="s">
        <v>45</v>
      </c>
      <c r="F2" s="23" t="s">
        <v>28</v>
      </c>
      <c r="G2" s="23" t="s">
        <v>46</v>
      </c>
      <c r="H2" s="23" t="s">
        <v>47</v>
      </c>
    </row>
    <row r="3" spans="1:8" ht="15.95" thickBot="1">
      <c r="A3" s="60" t="s">
        <v>48</v>
      </c>
      <c r="B3" s="95" t="s">
        <v>49</v>
      </c>
      <c r="C3" s="7"/>
      <c r="D3" s="8"/>
      <c r="E3" s="8"/>
      <c r="F3" s="8"/>
      <c r="G3" s="8"/>
      <c r="H3" s="9"/>
    </row>
    <row r="4" spans="1:8" ht="15.95" thickBot="1">
      <c r="A4" s="99" t="s">
        <v>48</v>
      </c>
      <c r="B4" s="106" t="s">
        <v>50</v>
      </c>
      <c r="C4" s="7">
        <v>1</v>
      </c>
      <c r="D4" s="110">
        <v>3</v>
      </c>
      <c r="E4" s="8" t="s">
        <v>51</v>
      </c>
      <c r="F4" s="8"/>
      <c r="G4" s="8"/>
      <c r="H4" s="9"/>
    </row>
    <row r="5" spans="1:8" ht="15.95" thickBot="1">
      <c r="A5" s="99" t="s">
        <v>48</v>
      </c>
      <c r="B5" s="106" t="s">
        <v>52</v>
      </c>
      <c r="C5" s="7">
        <v>1</v>
      </c>
      <c r="D5" s="110">
        <v>3</v>
      </c>
      <c r="E5" s="8" t="s">
        <v>51</v>
      </c>
      <c r="F5" s="8"/>
      <c r="G5" s="8"/>
      <c r="H5" s="9"/>
    </row>
    <row r="6" spans="1:8" ht="15.95" thickBot="1">
      <c r="A6" s="6" t="s">
        <v>48</v>
      </c>
      <c r="B6" s="106" t="s">
        <v>53</v>
      </c>
      <c r="C6" s="7">
        <v>1</v>
      </c>
      <c r="D6" s="110">
        <v>3</v>
      </c>
      <c r="E6" s="8" t="s">
        <v>51</v>
      </c>
      <c r="F6" s="8"/>
      <c r="G6" s="8"/>
      <c r="H6" s="9"/>
    </row>
    <row r="7" spans="1:8" ht="15.95" thickBot="1">
      <c r="A7" s="6" t="s">
        <v>48</v>
      </c>
      <c r="B7" s="106" t="s">
        <v>54</v>
      </c>
      <c r="C7" s="7">
        <v>1</v>
      </c>
      <c r="D7" s="110">
        <v>5</v>
      </c>
      <c r="E7" s="8" t="s">
        <v>51</v>
      </c>
      <c r="F7" s="8"/>
      <c r="G7" s="8"/>
      <c r="H7" s="9"/>
    </row>
    <row r="8" spans="1:8" ht="15.95" thickBot="1">
      <c r="A8" s="6" t="s">
        <v>48</v>
      </c>
      <c r="B8" s="106" t="s">
        <v>55</v>
      </c>
      <c r="C8" s="7">
        <v>1</v>
      </c>
      <c r="D8" s="110">
        <v>13</v>
      </c>
      <c r="E8" s="8" t="s">
        <v>51</v>
      </c>
      <c r="F8" s="8"/>
      <c r="G8" s="8"/>
      <c r="H8" s="9"/>
    </row>
    <row r="9" spans="1:8" ht="15.95" thickBot="1">
      <c r="A9" s="6" t="s">
        <v>48</v>
      </c>
      <c r="B9" s="106" t="s">
        <v>56</v>
      </c>
      <c r="C9" s="7">
        <v>1</v>
      </c>
      <c r="D9" s="110">
        <v>8</v>
      </c>
      <c r="E9" s="8" t="s">
        <v>51</v>
      </c>
      <c r="F9" s="8"/>
      <c r="G9" s="8"/>
      <c r="H9" s="9"/>
    </row>
    <row r="10" spans="1:8" ht="15.95" thickBot="1">
      <c r="A10" s="6" t="s">
        <v>48</v>
      </c>
      <c r="B10" s="106" t="s">
        <v>57</v>
      </c>
      <c r="C10" s="7">
        <v>2</v>
      </c>
      <c r="D10" s="110">
        <v>5</v>
      </c>
      <c r="E10" s="8" t="s">
        <v>51</v>
      </c>
      <c r="F10" s="8"/>
      <c r="G10" s="8"/>
      <c r="H10" s="9"/>
    </row>
    <row r="11" spans="1:8" ht="15.95" thickBot="1">
      <c r="A11" s="6" t="s">
        <v>58</v>
      </c>
      <c r="B11" s="106" t="s">
        <v>59</v>
      </c>
      <c r="C11" s="7">
        <v>2</v>
      </c>
      <c r="D11" s="110">
        <v>5</v>
      </c>
      <c r="E11" s="8" t="s">
        <v>51</v>
      </c>
      <c r="F11" s="8"/>
      <c r="G11" s="8"/>
      <c r="H11" s="9"/>
    </row>
    <row r="12" spans="1:8" ht="15.95" thickBot="1">
      <c r="A12" s="6" t="s">
        <v>58</v>
      </c>
      <c r="B12" s="111" t="s">
        <v>60</v>
      </c>
      <c r="C12" s="7">
        <v>1</v>
      </c>
      <c r="D12" s="110">
        <v>5</v>
      </c>
      <c r="E12" s="8" t="s">
        <v>51</v>
      </c>
      <c r="F12" s="8"/>
      <c r="G12" s="8"/>
      <c r="H12" s="9"/>
    </row>
    <row r="13" spans="1:8" ht="15.95" thickBot="1">
      <c r="A13" s="6" t="s">
        <v>58</v>
      </c>
      <c r="B13" s="111" t="s">
        <v>61</v>
      </c>
      <c r="C13" s="7">
        <v>3</v>
      </c>
      <c r="D13" s="110">
        <v>5</v>
      </c>
      <c r="E13" s="8" t="s">
        <v>51</v>
      </c>
      <c r="F13" s="8"/>
      <c r="G13" s="8"/>
      <c r="H13" s="9"/>
    </row>
    <row r="14" spans="1:8" ht="15.95" thickBot="1">
      <c r="A14" s="6"/>
      <c r="B14" s="105"/>
      <c r="C14" s="7"/>
      <c r="D14" s="8"/>
      <c r="E14" s="8"/>
      <c r="F14" s="8"/>
      <c r="G14" s="8"/>
      <c r="H14" s="9"/>
    </row>
    <row r="15" spans="1:8" ht="15.95" thickBot="1">
      <c r="A15" s="6"/>
      <c r="B15" s="6"/>
      <c r="C15" s="7"/>
      <c r="D15" s="8"/>
      <c r="E15" s="8"/>
      <c r="F15" s="8"/>
      <c r="G15" s="8"/>
      <c r="H15" s="9"/>
    </row>
    <row r="16" spans="1:8" ht="15.95" thickBot="1">
      <c r="A16" s="60" t="s">
        <v>62</v>
      </c>
      <c r="B16" s="95" t="s">
        <v>63</v>
      </c>
      <c r="C16" s="7"/>
      <c r="D16" s="8"/>
      <c r="E16" s="8"/>
      <c r="F16" s="8"/>
      <c r="G16" s="8"/>
      <c r="H16" s="9"/>
    </row>
    <row r="17" spans="1:8" ht="15.95" thickBot="1">
      <c r="A17" s="99" t="s">
        <v>62</v>
      </c>
      <c r="B17" s="106" t="s">
        <v>50</v>
      </c>
      <c r="C17" s="7">
        <v>1</v>
      </c>
      <c r="D17" s="8">
        <v>3</v>
      </c>
      <c r="E17" s="8" t="s">
        <v>51</v>
      </c>
      <c r="F17" s="8"/>
      <c r="G17" s="8"/>
      <c r="H17" s="9"/>
    </row>
    <row r="18" spans="1:8" ht="15.95" thickBot="1">
      <c r="A18" s="99" t="s">
        <v>62</v>
      </c>
      <c r="B18" s="108" t="s">
        <v>64</v>
      </c>
      <c r="C18" s="7">
        <v>1</v>
      </c>
      <c r="D18" s="8">
        <v>2</v>
      </c>
      <c r="E18" s="8" t="s">
        <v>51</v>
      </c>
      <c r="F18" s="8"/>
      <c r="G18" s="8"/>
      <c r="H18" s="9"/>
    </row>
    <row r="19" spans="1:8" ht="15.95" thickBot="1">
      <c r="A19" s="6" t="s">
        <v>62</v>
      </c>
      <c r="B19" s="108" t="s">
        <v>65</v>
      </c>
      <c r="C19" s="7">
        <v>1</v>
      </c>
      <c r="D19" s="8">
        <v>1</v>
      </c>
      <c r="E19" s="8" t="s">
        <v>51</v>
      </c>
      <c r="F19" s="8"/>
      <c r="G19" s="8"/>
      <c r="H19" s="9"/>
    </row>
    <row r="20" spans="1:8" ht="15.95" thickBot="1">
      <c r="A20" s="6" t="s">
        <v>62</v>
      </c>
      <c r="B20" s="108" t="s">
        <v>66</v>
      </c>
      <c r="C20" s="7">
        <v>1</v>
      </c>
      <c r="D20" s="8">
        <v>8</v>
      </c>
      <c r="E20" s="8" t="s">
        <v>51</v>
      </c>
      <c r="F20" s="8"/>
      <c r="G20" s="8"/>
      <c r="H20" s="9"/>
    </row>
    <row r="21" spans="1:8" ht="15.95" thickBot="1">
      <c r="A21" s="6" t="s">
        <v>62</v>
      </c>
      <c r="B21" s="108" t="s">
        <v>67</v>
      </c>
      <c r="C21" s="7">
        <v>1</v>
      </c>
      <c r="D21" s="8">
        <v>2</v>
      </c>
      <c r="E21" s="8" t="s">
        <v>51</v>
      </c>
      <c r="F21" s="8"/>
      <c r="G21" s="8"/>
      <c r="H21" s="9"/>
    </row>
    <row r="22" spans="1:8" ht="15.95" thickBot="1">
      <c r="A22" s="6" t="s">
        <v>62</v>
      </c>
      <c r="B22" s="108" t="s">
        <v>68</v>
      </c>
      <c r="C22" s="7">
        <v>1</v>
      </c>
      <c r="D22" s="8">
        <v>3</v>
      </c>
      <c r="E22" s="8" t="s">
        <v>51</v>
      </c>
      <c r="F22" s="8"/>
      <c r="G22" s="8"/>
      <c r="H22" s="9"/>
    </row>
    <row r="23" spans="1:8" ht="15.95" thickBot="1">
      <c r="A23" s="6" t="s">
        <v>62</v>
      </c>
      <c r="B23" s="108" t="s">
        <v>69</v>
      </c>
      <c r="C23" s="7">
        <v>2</v>
      </c>
      <c r="D23" s="8">
        <v>5</v>
      </c>
      <c r="E23" s="8" t="s">
        <v>51</v>
      </c>
      <c r="F23" s="8"/>
      <c r="G23" s="8"/>
      <c r="H23" s="9"/>
    </row>
    <row r="24" spans="1:8" ht="15.95" thickBot="1">
      <c r="A24" s="6" t="s">
        <v>62</v>
      </c>
      <c r="B24" s="108" t="s">
        <v>70</v>
      </c>
      <c r="C24" s="7">
        <v>2</v>
      </c>
      <c r="D24" s="8">
        <v>8</v>
      </c>
      <c r="E24" s="8" t="s">
        <v>51</v>
      </c>
      <c r="F24" s="8"/>
      <c r="G24" s="8"/>
      <c r="H24" s="9"/>
    </row>
    <row r="25" spans="1:8" ht="15.95" thickBot="1">
      <c r="A25" s="6" t="s">
        <v>62</v>
      </c>
      <c r="B25" s="108" t="s">
        <v>71</v>
      </c>
      <c r="C25" s="7">
        <v>2</v>
      </c>
      <c r="D25" s="8">
        <v>8</v>
      </c>
      <c r="E25" s="8" t="s">
        <v>51</v>
      </c>
      <c r="F25" s="8"/>
      <c r="G25" s="8"/>
      <c r="H25" s="9"/>
    </row>
    <row r="26" spans="1:8" ht="15.95" thickBot="1">
      <c r="A26" s="6" t="s">
        <v>62</v>
      </c>
      <c r="B26" s="108" t="s">
        <v>72</v>
      </c>
      <c r="C26" s="7">
        <v>2</v>
      </c>
      <c r="D26" s="8">
        <v>8</v>
      </c>
      <c r="E26" s="8" t="s">
        <v>51</v>
      </c>
      <c r="F26" s="8"/>
      <c r="G26" s="8"/>
      <c r="H26" s="9"/>
    </row>
    <row r="27" spans="1:8" ht="15.95" thickBot="1">
      <c r="A27" s="6" t="s">
        <v>62</v>
      </c>
      <c r="B27" s="108" t="s">
        <v>73</v>
      </c>
      <c r="C27" s="7">
        <v>2</v>
      </c>
      <c r="D27" s="8">
        <v>5</v>
      </c>
      <c r="E27" s="8" t="s">
        <v>51</v>
      </c>
      <c r="F27" s="8"/>
      <c r="G27" s="8"/>
      <c r="H27" s="9"/>
    </row>
    <row r="28" spans="1:8" ht="15.95" thickBot="1">
      <c r="A28" s="6" t="s">
        <v>62</v>
      </c>
      <c r="B28" s="108" t="s">
        <v>74</v>
      </c>
      <c r="C28" s="7">
        <v>3</v>
      </c>
      <c r="D28" s="8">
        <v>5</v>
      </c>
      <c r="E28" s="8" t="s">
        <v>51</v>
      </c>
      <c r="F28" s="8"/>
      <c r="G28" s="8"/>
      <c r="H28" s="9"/>
    </row>
    <row r="29" spans="1:8" ht="15.95" thickBot="1">
      <c r="A29" s="6" t="s">
        <v>62</v>
      </c>
      <c r="B29" s="108" t="s">
        <v>75</v>
      </c>
      <c r="C29" s="7">
        <v>3</v>
      </c>
      <c r="D29" s="8">
        <v>8</v>
      </c>
      <c r="E29" s="8" t="s">
        <v>51</v>
      </c>
      <c r="F29" s="8"/>
      <c r="G29" s="8"/>
      <c r="H29" s="9"/>
    </row>
    <row r="30" spans="1:8" ht="15.95" thickBot="1">
      <c r="A30" s="6" t="s">
        <v>62</v>
      </c>
      <c r="B30" s="107" t="s">
        <v>76</v>
      </c>
      <c r="C30" s="7">
        <v>3</v>
      </c>
      <c r="D30" s="8">
        <v>5</v>
      </c>
      <c r="E30" s="8" t="s">
        <v>51</v>
      </c>
      <c r="F30" s="8"/>
      <c r="G30" s="8"/>
      <c r="H30" s="9"/>
    </row>
    <row r="31" spans="1:8" ht="15.95" thickBot="1">
      <c r="A31" s="6" t="s">
        <v>62</v>
      </c>
      <c r="B31" s="107" t="s">
        <v>77</v>
      </c>
      <c r="C31" s="7">
        <v>3</v>
      </c>
      <c r="D31" s="8">
        <v>3</v>
      </c>
      <c r="E31" s="8" t="s">
        <v>51</v>
      </c>
      <c r="F31" s="8"/>
      <c r="G31" s="8"/>
      <c r="H31" s="9"/>
    </row>
    <row r="32" spans="1:8" ht="15.95" thickBot="1">
      <c r="A32" s="6" t="s">
        <v>62</v>
      </c>
      <c r="B32" s="107" t="s">
        <v>78</v>
      </c>
      <c r="C32" s="7">
        <v>1</v>
      </c>
      <c r="D32" s="8">
        <v>8</v>
      </c>
      <c r="E32" s="8" t="s">
        <v>51</v>
      </c>
      <c r="F32" s="8"/>
      <c r="G32" s="8"/>
      <c r="H32" s="9"/>
    </row>
    <row r="33" spans="1:8" ht="15.95" thickBot="1">
      <c r="A33" s="6"/>
      <c r="B33" s="100"/>
      <c r="C33" s="7"/>
      <c r="D33" s="8"/>
      <c r="E33" s="8"/>
      <c r="F33" s="8"/>
      <c r="G33" s="8"/>
      <c r="H33" s="9"/>
    </row>
    <row r="34" spans="1:8" ht="15.95" thickBot="1">
      <c r="A34" s="6"/>
      <c r="B34" s="100"/>
      <c r="C34" s="7"/>
      <c r="D34" s="8"/>
      <c r="E34" s="8"/>
      <c r="F34" s="8"/>
      <c r="G34" s="8"/>
      <c r="H34" s="9"/>
    </row>
    <row r="35" spans="1:8" ht="15.95" thickBot="1">
      <c r="A35" s="6"/>
      <c r="B35" s="6"/>
      <c r="C35" s="7"/>
      <c r="D35" s="8"/>
      <c r="E35" s="8"/>
      <c r="F35" s="8"/>
      <c r="G35" s="8"/>
      <c r="H35" s="9"/>
    </row>
    <row r="36" spans="1:8" ht="15.95" thickBot="1">
      <c r="A36" s="6"/>
      <c r="B36" s="6"/>
      <c r="C36" s="7"/>
      <c r="D36" s="8"/>
      <c r="E36" s="8"/>
      <c r="F36" s="8"/>
      <c r="G36" s="8"/>
      <c r="H36" s="9"/>
    </row>
    <row r="37" spans="1:8" ht="15.95" thickBot="1">
      <c r="A37" s="6"/>
      <c r="B37" s="6"/>
      <c r="C37" s="7"/>
      <c r="D37" s="8"/>
      <c r="E37" s="8"/>
      <c r="F37" s="8"/>
      <c r="G37" s="8"/>
      <c r="H37" s="9"/>
    </row>
    <row r="38" spans="1:8" ht="15.95" thickBot="1">
      <c r="A38" s="60"/>
      <c r="B38" s="95"/>
      <c r="C38" s="7"/>
      <c r="D38" s="8"/>
      <c r="E38" s="8"/>
      <c r="F38" s="8"/>
      <c r="G38" s="8"/>
      <c r="H38" s="9"/>
    </row>
    <row r="39" spans="1:8" ht="15.95" thickBot="1">
      <c r="A39" s="6"/>
      <c r="B39" s="97"/>
      <c r="C39" s="7"/>
      <c r="D39" s="8"/>
      <c r="E39" s="8"/>
      <c r="F39" s="8"/>
      <c r="G39" s="8"/>
      <c r="H39" s="9"/>
    </row>
    <row r="40" spans="1:8" ht="15.95" thickBot="1">
      <c r="A40" s="6"/>
      <c r="B40" s="97"/>
      <c r="C40" s="7"/>
      <c r="D40" s="8"/>
      <c r="E40" s="8"/>
      <c r="F40" s="8"/>
      <c r="G40" s="8"/>
      <c r="H40" s="9"/>
    </row>
    <row r="41" spans="1:8" ht="15.95" thickBot="1">
      <c r="A41" s="6"/>
      <c r="B41" s="97"/>
      <c r="C41" s="7"/>
      <c r="D41" s="8"/>
      <c r="E41" s="8"/>
      <c r="F41" s="8"/>
      <c r="G41" s="8"/>
      <c r="H41" s="9"/>
    </row>
    <row r="42" spans="1:8" ht="15.95" thickBot="1">
      <c r="A42" s="6"/>
      <c r="B42" s="97"/>
      <c r="C42" s="7"/>
      <c r="D42" s="8"/>
      <c r="E42" s="8"/>
      <c r="F42" s="8"/>
      <c r="G42" s="8"/>
      <c r="H42" s="9"/>
    </row>
    <row r="43" spans="1:8" ht="15.95" thickBot="1">
      <c r="A43" s="6"/>
      <c r="B43" s="97"/>
      <c r="C43" s="7"/>
      <c r="D43" s="8"/>
      <c r="E43" s="8"/>
      <c r="F43" s="8"/>
      <c r="G43" s="8"/>
      <c r="H43" s="9"/>
    </row>
    <row r="44" spans="1:8" ht="15.95" thickBot="1">
      <c r="A44" s="6"/>
      <c r="B44" s="6"/>
      <c r="C44" s="7"/>
      <c r="D44" s="8"/>
      <c r="E44" s="8"/>
      <c r="F44" s="8"/>
      <c r="G44" s="8"/>
      <c r="H44" s="9"/>
    </row>
    <row r="45" spans="1:8" ht="15.95" thickBot="1">
      <c r="A45" s="6"/>
      <c r="B45" s="6"/>
      <c r="C45" s="7"/>
      <c r="D45" s="8"/>
      <c r="E45" s="8"/>
      <c r="F45" s="8"/>
      <c r="G45" s="8"/>
      <c r="H45" s="9"/>
    </row>
    <row r="46" spans="1:8" ht="15.95" thickBot="1">
      <c r="A46" s="6"/>
      <c r="B46" s="96"/>
      <c r="C46" s="7"/>
      <c r="D46" s="8"/>
      <c r="E46" s="8"/>
      <c r="F46" s="8"/>
      <c r="G46" s="8"/>
      <c r="H46" s="9"/>
    </row>
    <row r="47" spans="1:8" ht="15.95" thickBot="1">
      <c r="A47" s="6"/>
      <c r="B47" s="6"/>
      <c r="C47" s="7"/>
      <c r="D47" s="8"/>
      <c r="E47" s="8"/>
      <c r="F47" s="8"/>
      <c r="G47" s="8"/>
      <c r="H47" s="9"/>
    </row>
    <row r="48" spans="1:8" ht="15.95" thickBot="1">
      <c r="A48" s="6"/>
      <c r="B48" s="6"/>
      <c r="C48" s="7"/>
      <c r="D48" s="8"/>
      <c r="E48" s="8"/>
      <c r="F48" s="8"/>
      <c r="G48" s="8"/>
      <c r="H48" s="9"/>
    </row>
    <row r="49" spans="1:8" ht="15.95" thickBot="1">
      <c r="A49" s="6"/>
      <c r="B49" s="6"/>
      <c r="C49" s="7"/>
      <c r="D49" s="8"/>
      <c r="E49" s="8"/>
      <c r="F49" s="8"/>
      <c r="G49" s="8"/>
      <c r="H49" s="9"/>
    </row>
    <row r="50" spans="1:8" ht="15.95" thickBot="1">
      <c r="A50" s="6"/>
      <c r="B50" s="6"/>
      <c r="C50" s="7"/>
      <c r="D50" s="8"/>
      <c r="E50" s="8"/>
      <c r="F50" s="8"/>
      <c r="G50" s="8"/>
      <c r="H50" s="9"/>
    </row>
    <row r="51" spans="1:8" ht="15.95" thickBot="1">
      <c r="A51" s="6"/>
      <c r="B51" s="6"/>
      <c r="C51" s="7"/>
      <c r="D51" s="8"/>
      <c r="E51" s="8"/>
      <c r="F51" s="8"/>
      <c r="G51" s="8"/>
      <c r="H51" s="9"/>
    </row>
    <row r="52" spans="1:8" ht="15.95" thickBot="1">
      <c r="A52" s="6"/>
      <c r="B52" s="6"/>
      <c r="C52" s="7"/>
      <c r="D52" s="8"/>
      <c r="E52" s="8"/>
      <c r="F52" s="8"/>
      <c r="G52" s="8"/>
      <c r="H52" s="9"/>
    </row>
    <row r="53" spans="1:8" ht="15.95" thickBot="1">
      <c r="A53" s="6"/>
      <c r="B53" s="6"/>
      <c r="C53" s="7"/>
      <c r="D53" s="8"/>
      <c r="E53" s="8"/>
      <c r="F53" s="8"/>
      <c r="G53" s="8"/>
      <c r="H53" s="9"/>
    </row>
    <row r="54" spans="1:8" ht="15.95" thickBot="1">
      <c r="A54" s="6"/>
      <c r="B54" s="6"/>
      <c r="C54" s="7"/>
      <c r="D54" s="8"/>
      <c r="E54" s="8"/>
      <c r="F54" s="8"/>
      <c r="G54" s="8"/>
      <c r="H54" s="9"/>
    </row>
    <row r="55" spans="1:8" ht="15.95" thickBot="1">
      <c r="A55" s="6"/>
      <c r="B55" s="6"/>
      <c r="C55" s="7"/>
      <c r="D55" s="8"/>
      <c r="E55" s="8"/>
      <c r="F55" s="8"/>
      <c r="G55" s="8"/>
      <c r="H55" s="9"/>
    </row>
    <row r="56" spans="1:8" ht="15.95" thickBot="1">
      <c r="A56" s="6"/>
      <c r="B56" s="6"/>
      <c r="C56" s="7"/>
      <c r="D56" s="8"/>
      <c r="E56" s="8"/>
      <c r="F56" s="8"/>
      <c r="G56" s="8"/>
      <c r="H56" s="9"/>
    </row>
    <row r="57" spans="1:8" ht="15.95" thickBot="1">
      <c r="A57" s="6"/>
      <c r="B57" s="6"/>
      <c r="C57" s="7"/>
      <c r="D57" s="8"/>
      <c r="E57" s="8"/>
      <c r="F57" s="8"/>
      <c r="G57" s="8"/>
      <c r="H57" s="9"/>
    </row>
    <row r="58" spans="1:8" ht="15.95" thickBot="1">
      <c r="A58" s="6"/>
      <c r="B58" s="6"/>
      <c r="C58" s="7"/>
      <c r="D58" s="8"/>
      <c r="E58" s="8"/>
      <c r="F58" s="8"/>
      <c r="G58" s="8"/>
      <c r="H58" s="9"/>
    </row>
    <row r="59" spans="1:8" ht="15.95" thickBot="1">
      <c r="A59" s="6"/>
      <c r="B59" s="6"/>
      <c r="C59" s="7"/>
      <c r="D59" s="8"/>
      <c r="E59" s="8"/>
      <c r="F59" s="8"/>
      <c r="G59" s="8"/>
      <c r="H59" s="9"/>
    </row>
    <row r="60" spans="1:8" ht="15.95" thickBot="1">
      <c r="A60" s="6"/>
      <c r="B60" s="6"/>
      <c r="C60" s="7"/>
      <c r="D60" s="8"/>
      <c r="E60" s="8"/>
      <c r="F60" s="8"/>
      <c r="G60" s="8"/>
      <c r="H60" s="9"/>
    </row>
    <row r="61" spans="1:8" ht="15.95" thickBot="1">
      <c r="A61" s="6"/>
      <c r="B61" s="6"/>
      <c r="C61" s="7"/>
      <c r="D61" s="8"/>
      <c r="E61" s="8"/>
      <c r="F61" s="8"/>
      <c r="G61" s="8"/>
      <c r="H61" s="9"/>
    </row>
    <row r="62" spans="1:8" ht="15.95" thickBot="1">
      <c r="A62" s="6"/>
      <c r="B62" s="6"/>
      <c r="C62" s="7"/>
      <c r="D62" s="8"/>
      <c r="E62" s="8"/>
      <c r="F62" s="8"/>
      <c r="G62" s="8"/>
      <c r="H62" s="9"/>
    </row>
    <row r="63" spans="1:8" ht="15.95" thickBot="1">
      <c r="A63" s="6"/>
      <c r="B63" s="6"/>
      <c r="C63" s="7"/>
      <c r="D63" s="8"/>
      <c r="E63" s="8"/>
      <c r="F63" s="8"/>
      <c r="G63" s="8"/>
      <c r="H63" s="9"/>
    </row>
    <row r="64" spans="1:8" ht="15.95" thickBot="1">
      <c r="A64" s="6"/>
      <c r="B64" s="6"/>
      <c r="C64" s="7"/>
      <c r="D64" s="8"/>
      <c r="E64" s="8"/>
      <c r="F64" s="8"/>
      <c r="G64" s="8"/>
      <c r="H64" s="9"/>
    </row>
    <row r="65" spans="1:8" ht="15.95" thickBot="1">
      <c r="A65" s="6"/>
      <c r="B65" s="6"/>
      <c r="C65" s="7"/>
      <c r="D65" s="8"/>
      <c r="E65" s="8"/>
      <c r="F65" s="8"/>
      <c r="G65" s="8"/>
      <c r="H65" s="9"/>
    </row>
    <row r="66" spans="1:8" ht="15.95" thickBot="1">
      <c r="A66" s="6"/>
      <c r="B66" s="6"/>
      <c r="C66" s="7"/>
      <c r="D66" s="8"/>
      <c r="E66" s="8"/>
      <c r="F66" s="8"/>
      <c r="G66" s="8"/>
      <c r="H66" s="9"/>
    </row>
    <row r="67" spans="1:8" ht="15.95" thickBot="1">
      <c r="A67" s="6"/>
      <c r="B67" s="6"/>
      <c r="C67" s="7"/>
      <c r="D67" s="8"/>
      <c r="E67" s="8"/>
      <c r="F67" s="8"/>
      <c r="G67" s="8"/>
      <c r="H67" s="9"/>
    </row>
    <row r="68" spans="1:8" ht="15.95" thickBot="1">
      <c r="A68" s="6"/>
      <c r="B68" s="6"/>
      <c r="C68" s="7"/>
      <c r="D68" s="8"/>
      <c r="E68" s="8"/>
      <c r="F68" s="8"/>
      <c r="G68" s="8"/>
      <c r="H68" s="9"/>
    </row>
    <row r="69" spans="1:8" ht="15.95" thickBot="1">
      <c r="A69" s="6"/>
      <c r="B69" s="6"/>
      <c r="C69" s="7"/>
      <c r="D69" s="8"/>
      <c r="E69" s="8"/>
      <c r="F69" s="8"/>
      <c r="G69" s="8"/>
      <c r="H69" s="9"/>
    </row>
    <row r="70" spans="1:8" ht="15.95" thickBot="1">
      <c r="A70" s="6"/>
      <c r="B70" s="6"/>
      <c r="C70" s="7"/>
      <c r="D70" s="8"/>
      <c r="E70" s="8"/>
      <c r="F70" s="8"/>
      <c r="G70" s="8"/>
      <c r="H70" s="9"/>
    </row>
    <row r="71" spans="1:8" ht="15.95" thickBot="1">
      <c r="A71" s="6"/>
      <c r="B71" s="6"/>
      <c r="C71" s="7"/>
      <c r="D71" s="8"/>
      <c r="E71" s="8"/>
      <c r="F71" s="8"/>
      <c r="G71" s="8"/>
      <c r="H71" s="9"/>
    </row>
    <row r="72" spans="1:8" ht="15.95" thickBot="1">
      <c r="A72" s="6"/>
      <c r="B72" s="6"/>
      <c r="C72" s="7"/>
      <c r="D72" s="8"/>
      <c r="E72" s="8"/>
      <c r="F72" s="8"/>
      <c r="G72" s="8"/>
      <c r="H72" s="9"/>
    </row>
    <row r="73" spans="1:8" ht="15.95" thickBot="1">
      <c r="A73" s="6"/>
      <c r="B73" s="6"/>
      <c r="C73" s="7"/>
      <c r="D73" s="8"/>
      <c r="E73" s="8"/>
      <c r="F73" s="8"/>
      <c r="G73" s="8"/>
      <c r="H73" s="9"/>
    </row>
    <row r="74" spans="1:8" ht="15.95" thickBot="1">
      <c r="A74" s="6"/>
      <c r="B74" s="6"/>
      <c r="C74" s="7"/>
      <c r="D74" s="8"/>
      <c r="E74" s="8"/>
      <c r="F74" s="8"/>
      <c r="G74" s="8"/>
      <c r="H74" s="9"/>
    </row>
    <row r="75" spans="1:8" ht="15.95" thickBot="1">
      <c r="A75" s="6"/>
      <c r="B75" s="6"/>
      <c r="C75" s="7"/>
      <c r="D75" s="8"/>
      <c r="E75" s="8"/>
      <c r="F75" s="8"/>
      <c r="G75" s="8"/>
      <c r="H75" s="9"/>
    </row>
    <row r="76" spans="1:8" ht="15.95" thickBot="1">
      <c r="A76" s="6"/>
      <c r="B76" s="6"/>
      <c r="C76" s="7"/>
      <c r="D76" s="8"/>
      <c r="E76" s="8"/>
      <c r="F76" s="8"/>
      <c r="G76" s="8"/>
      <c r="H76" s="9"/>
    </row>
    <row r="77" spans="1:8" ht="15.95" thickBot="1">
      <c r="A77" s="6"/>
      <c r="B77" s="6"/>
      <c r="C77" s="7"/>
      <c r="D77" s="8"/>
      <c r="E77" s="8"/>
      <c r="F77" s="8"/>
      <c r="G77" s="8"/>
      <c r="H77" s="9"/>
    </row>
    <row r="78" spans="1:8" ht="15.95" thickBot="1">
      <c r="A78" s="6"/>
      <c r="B78" s="6"/>
      <c r="C78" s="7"/>
      <c r="D78" s="8"/>
      <c r="E78" s="8"/>
      <c r="F78" s="8"/>
      <c r="G78" s="8"/>
      <c r="H78" s="9"/>
    </row>
    <row r="79" spans="1:8" ht="15.95" thickBot="1">
      <c r="A79" s="6"/>
      <c r="B79" s="6"/>
      <c r="C79" s="7"/>
      <c r="D79" s="8"/>
      <c r="E79" s="8"/>
      <c r="F79" s="8"/>
      <c r="G79" s="8"/>
      <c r="H79" s="9"/>
    </row>
    <row r="80" spans="1:8" ht="15.95" thickBot="1">
      <c r="A80" s="6"/>
      <c r="B80" s="6"/>
      <c r="C80" s="7"/>
      <c r="D80" s="8"/>
      <c r="E80" s="8"/>
      <c r="F80" s="8"/>
      <c r="G80" s="8"/>
      <c r="H80" s="9"/>
    </row>
    <row r="81" spans="1:8" ht="15.95" thickBot="1">
      <c r="A81" s="6"/>
      <c r="B81" s="6"/>
      <c r="C81" s="7"/>
      <c r="D81" s="8"/>
      <c r="E81" s="8"/>
      <c r="F81" s="8"/>
      <c r="G81" s="8"/>
      <c r="H81" s="9"/>
    </row>
    <row r="82" spans="1:8" ht="15.95" thickBot="1">
      <c r="A82" s="6"/>
      <c r="B82" s="6"/>
      <c r="C82" s="7"/>
      <c r="D82" s="8"/>
      <c r="E82" s="8"/>
      <c r="F82" s="8"/>
      <c r="G82" s="8"/>
      <c r="H82" s="9"/>
    </row>
    <row r="83" spans="1:8" ht="15.95" thickBot="1">
      <c r="A83" s="6"/>
      <c r="B83" s="6"/>
      <c r="C83" s="7"/>
      <c r="D83" s="8"/>
      <c r="E83" s="8"/>
      <c r="F83" s="8"/>
      <c r="G83" s="8"/>
      <c r="H83" s="9"/>
    </row>
    <row r="84" spans="1:8" ht="15.95" thickBot="1">
      <c r="A84" s="6"/>
      <c r="B84" s="6"/>
      <c r="C84" s="7"/>
      <c r="D84" s="8"/>
      <c r="E84" s="8"/>
      <c r="F84" s="8"/>
      <c r="G84" s="8"/>
      <c r="H84" s="9"/>
    </row>
    <row r="85" spans="1:8" ht="15.95" thickBot="1">
      <c r="A85" s="6"/>
      <c r="B85" s="6"/>
      <c r="C85" s="7"/>
      <c r="D85" s="8"/>
      <c r="E85" s="8"/>
      <c r="F85" s="8"/>
      <c r="G85" s="8"/>
      <c r="H85" s="9"/>
    </row>
    <row r="86" spans="1:8" ht="15.95" thickBot="1">
      <c r="A86" s="6"/>
      <c r="B86" s="6"/>
      <c r="C86" s="7"/>
      <c r="D86" s="8"/>
      <c r="E86" s="8"/>
      <c r="F86" s="8"/>
      <c r="G86" s="8"/>
      <c r="H86" s="9"/>
    </row>
    <row r="87" spans="1:8" ht="15.95" thickBot="1">
      <c r="A87" s="6"/>
      <c r="B87" s="6"/>
      <c r="C87" s="7"/>
      <c r="D87" s="8"/>
      <c r="E87" s="8"/>
      <c r="F87" s="8"/>
      <c r="G87" s="8"/>
      <c r="H87" s="9"/>
    </row>
    <row r="88" spans="1:8" ht="15.95" thickBot="1">
      <c r="A88" s="6"/>
      <c r="B88" s="6"/>
      <c r="C88" s="7"/>
      <c r="D88" s="8"/>
      <c r="E88" s="8"/>
      <c r="F88" s="8"/>
      <c r="G88" s="8"/>
      <c r="H88" s="9"/>
    </row>
    <row r="89" spans="1:8" ht="15.95" thickBot="1">
      <c r="A89" s="6"/>
      <c r="B89" s="6"/>
      <c r="C89" s="7"/>
      <c r="D89" s="8"/>
      <c r="E89" s="8"/>
      <c r="F89" s="8"/>
      <c r="G89" s="8"/>
      <c r="H89" s="9"/>
    </row>
    <row r="90" spans="1:8" ht="15.95" thickBot="1">
      <c r="A90" s="6"/>
      <c r="B90" s="6"/>
      <c r="C90" s="7"/>
      <c r="D90" s="8"/>
      <c r="E90" s="8"/>
      <c r="F90" s="8"/>
      <c r="G90" s="8"/>
      <c r="H90" s="9"/>
    </row>
    <row r="91" spans="1:8" ht="15.95" thickBot="1">
      <c r="A91" s="6"/>
      <c r="B91" s="6"/>
      <c r="C91" s="7"/>
      <c r="D91" s="8"/>
      <c r="E91" s="8"/>
      <c r="F91" s="8"/>
      <c r="G91" s="8"/>
      <c r="H91" s="9"/>
    </row>
    <row r="92" spans="1:8" ht="15.95" thickBot="1">
      <c r="A92" s="6"/>
      <c r="B92" s="6"/>
      <c r="C92" s="7"/>
      <c r="D92" s="8"/>
      <c r="E92" s="8"/>
      <c r="F92" s="8"/>
      <c r="G92" s="8"/>
      <c r="H92" s="9"/>
    </row>
    <row r="93" spans="1:8" ht="15.95" thickBot="1">
      <c r="A93" s="6"/>
      <c r="B93" s="6"/>
      <c r="C93" s="7"/>
      <c r="D93" s="8"/>
      <c r="E93" s="8"/>
      <c r="F93" s="8"/>
      <c r="G93" s="8"/>
      <c r="H93" s="9"/>
    </row>
    <row r="94" spans="1:8" ht="15.95" thickBot="1">
      <c r="A94" s="6"/>
      <c r="B94" s="6"/>
      <c r="C94" s="7"/>
      <c r="D94" s="8"/>
      <c r="E94" s="8"/>
      <c r="F94" s="8"/>
      <c r="G94" s="8"/>
      <c r="H94" s="9"/>
    </row>
    <row r="95" spans="1:8" ht="15.95" thickBot="1">
      <c r="A95" s="6"/>
      <c r="B95" s="6"/>
      <c r="C95" s="7"/>
      <c r="D95" s="8"/>
      <c r="E95" s="8"/>
      <c r="F95" s="8"/>
      <c r="G95" s="8"/>
      <c r="H95" s="9"/>
    </row>
    <row r="96" spans="1:8" ht="15.95" thickBot="1">
      <c r="A96" s="6"/>
      <c r="B96" s="6"/>
      <c r="C96" s="7"/>
      <c r="D96" s="8"/>
      <c r="E96" s="8"/>
      <c r="F96" s="8"/>
      <c r="G96" s="8"/>
      <c r="H96" s="9"/>
    </row>
    <row r="97" spans="1:8" ht="15.95" thickBot="1">
      <c r="A97" s="6"/>
      <c r="B97" s="6"/>
      <c r="C97" s="7"/>
      <c r="D97" s="8"/>
      <c r="E97" s="8"/>
      <c r="F97" s="8"/>
      <c r="G97" s="8"/>
      <c r="H97" s="9"/>
    </row>
    <row r="98" spans="1:8" ht="15.95" thickBot="1">
      <c r="A98" s="6"/>
      <c r="B98" s="6"/>
      <c r="C98" s="7"/>
      <c r="D98" s="8"/>
      <c r="E98" s="8"/>
      <c r="F98" s="8"/>
      <c r="G98" s="8"/>
      <c r="H98" s="9"/>
    </row>
    <row r="99" spans="1:8" ht="15.95" thickBot="1">
      <c r="A99" s="6"/>
      <c r="B99" s="6"/>
      <c r="C99" s="7"/>
      <c r="D99" s="8"/>
      <c r="E99" s="8"/>
      <c r="F99" s="8"/>
      <c r="G99" s="8"/>
      <c r="H99" s="9"/>
    </row>
    <row r="100" spans="1:8" ht="15.95" thickBot="1">
      <c r="A100" s="6"/>
      <c r="B100" s="6"/>
      <c r="C100" s="7"/>
      <c r="D100" s="8"/>
      <c r="E100" s="8"/>
      <c r="F100" s="8"/>
      <c r="G100" s="8"/>
      <c r="H100" s="9"/>
    </row>
    <row r="101" spans="1:8" ht="15.95" thickBot="1">
      <c r="A101" s="6"/>
      <c r="B101" s="6"/>
      <c r="C101" s="7"/>
      <c r="D101" s="8"/>
      <c r="E101" s="8"/>
      <c r="F101" s="8"/>
      <c r="G101" s="8"/>
      <c r="H101" s="9"/>
    </row>
    <row r="102" spans="1:8" ht="15.95" thickBot="1">
      <c r="A102" s="6"/>
      <c r="B102" s="6"/>
      <c r="C102" s="7"/>
      <c r="D102" s="8"/>
      <c r="E102" s="8"/>
      <c r="F102" s="8"/>
      <c r="G102" s="8"/>
      <c r="H102" s="9"/>
    </row>
    <row r="103" spans="1:8" ht="15.95" thickBot="1">
      <c r="A103" s="6"/>
      <c r="B103" s="6"/>
      <c r="C103" s="7"/>
      <c r="D103" s="8"/>
      <c r="E103" s="8"/>
      <c r="F103" s="8"/>
      <c r="G103" s="8"/>
      <c r="H103" s="9"/>
    </row>
    <row r="104" spans="1:8" ht="15.95" thickBot="1">
      <c r="A104" s="6"/>
      <c r="B104" s="6"/>
      <c r="C104" s="7"/>
      <c r="D104" s="8"/>
      <c r="E104" s="8"/>
      <c r="F104" s="8"/>
      <c r="G104" s="8"/>
      <c r="H104" s="9"/>
    </row>
    <row r="105" spans="1:8" ht="15.95" thickBot="1">
      <c r="A105" s="6"/>
      <c r="B105" s="6"/>
      <c r="C105" s="7"/>
      <c r="D105" s="8"/>
      <c r="E105" s="8"/>
      <c r="F105" s="8"/>
      <c r="G105" s="8"/>
      <c r="H105" s="9"/>
    </row>
    <row r="106" spans="1:8" ht="15.95" thickBot="1">
      <c r="A106" s="6"/>
      <c r="B106" s="6"/>
      <c r="C106" s="7"/>
      <c r="D106" s="8"/>
      <c r="E106" s="8"/>
      <c r="F106" s="8"/>
      <c r="G106" s="8"/>
      <c r="H106" s="9"/>
    </row>
    <row r="107" spans="1:8" ht="15.95" thickBot="1">
      <c r="A107" s="6"/>
      <c r="B107" s="6"/>
      <c r="C107" s="7"/>
      <c r="D107" s="8"/>
      <c r="E107" s="8"/>
      <c r="F107" s="8"/>
      <c r="G107" s="8"/>
      <c r="H107" s="9"/>
    </row>
    <row r="108" spans="1:8" ht="15.95" thickBot="1">
      <c r="A108" s="6"/>
      <c r="B108" s="6"/>
      <c r="C108" s="7"/>
      <c r="D108" s="8"/>
      <c r="E108" s="8"/>
      <c r="F108" s="8"/>
      <c r="G108" s="8"/>
      <c r="H108" s="9"/>
    </row>
    <row r="109" spans="1:8" ht="15.95" thickBot="1">
      <c r="A109" s="6"/>
      <c r="B109" s="6"/>
      <c r="C109" s="7"/>
      <c r="D109" s="8"/>
      <c r="E109" s="8"/>
      <c r="F109" s="8"/>
      <c r="G109" s="8"/>
      <c r="H109" s="9"/>
    </row>
    <row r="110" spans="1:8" ht="15.95" thickBot="1">
      <c r="A110" s="6"/>
      <c r="B110" s="6"/>
      <c r="C110" s="7"/>
      <c r="D110" s="8"/>
      <c r="E110" s="8"/>
      <c r="F110" s="8"/>
      <c r="G110" s="8"/>
      <c r="H110" s="9"/>
    </row>
    <row r="111" spans="1:8" ht="15.95" thickBot="1">
      <c r="A111" s="6"/>
      <c r="B111" s="6"/>
      <c r="C111" s="7"/>
      <c r="D111" s="8"/>
      <c r="E111" s="8"/>
      <c r="F111" s="8"/>
      <c r="G111" s="8"/>
      <c r="H111" s="9"/>
    </row>
    <row r="112" spans="1:8" ht="15.95" thickBot="1">
      <c r="A112" s="6"/>
      <c r="B112" s="6"/>
      <c r="C112" s="7"/>
      <c r="D112" s="8"/>
      <c r="E112" s="8"/>
      <c r="F112" s="8"/>
      <c r="G112" s="8"/>
      <c r="H112" s="9"/>
    </row>
    <row r="113" spans="1:8" ht="15.95" thickBot="1">
      <c r="A113" s="6"/>
      <c r="B113" s="6"/>
      <c r="C113" s="7"/>
      <c r="D113" s="8"/>
      <c r="E113" s="8"/>
      <c r="F113" s="8"/>
      <c r="G113" s="8"/>
      <c r="H113" s="9"/>
    </row>
    <row r="114" spans="1:8" ht="15.95" thickBot="1">
      <c r="A114" s="6"/>
      <c r="B114" s="6"/>
      <c r="C114" s="7"/>
      <c r="D114" s="8"/>
      <c r="E114" s="8"/>
      <c r="F114" s="8"/>
      <c r="G114" s="8"/>
      <c r="H114" s="9"/>
    </row>
    <row r="115" spans="1:8" ht="15.95" thickBot="1">
      <c r="A115" s="6"/>
      <c r="B115" s="6"/>
      <c r="C115" s="7"/>
      <c r="D115" s="8"/>
      <c r="E115" s="8"/>
      <c r="F115" s="8"/>
      <c r="G115" s="8"/>
      <c r="H115" s="9"/>
    </row>
    <row r="116" spans="1:8" ht="15.95" thickBot="1">
      <c r="A116" s="6"/>
      <c r="B116" s="6"/>
      <c r="C116" s="7"/>
      <c r="D116" s="8"/>
      <c r="E116" s="8"/>
      <c r="F116" s="8"/>
      <c r="G116" s="8"/>
      <c r="H116" s="9"/>
    </row>
    <row r="117" spans="1:8" ht="15.95" thickBot="1">
      <c r="A117" s="6"/>
      <c r="B117" s="6"/>
      <c r="C117" s="7"/>
      <c r="D117" s="8"/>
      <c r="E117" s="8"/>
      <c r="F117" s="8"/>
      <c r="G117" s="8"/>
      <c r="H117" s="9"/>
    </row>
    <row r="118" spans="1:8" ht="15.95" thickBot="1">
      <c r="A118" s="6"/>
      <c r="B118" s="6"/>
      <c r="C118" s="7"/>
      <c r="D118" s="8"/>
      <c r="E118" s="8"/>
      <c r="F118" s="8"/>
      <c r="G118" s="8"/>
      <c r="H118" s="9"/>
    </row>
    <row r="119" spans="1:8" ht="15.95" thickBot="1">
      <c r="A119" s="6"/>
      <c r="B119" s="6"/>
      <c r="C119" s="7"/>
      <c r="D119" s="8"/>
      <c r="E119" s="8"/>
      <c r="F119" s="8"/>
      <c r="G119" s="8"/>
      <c r="H119" s="9"/>
    </row>
    <row r="120" spans="1:8" ht="15.95" thickBot="1">
      <c r="A120" s="6"/>
      <c r="B120" s="6"/>
      <c r="C120" s="7"/>
      <c r="D120" s="8"/>
      <c r="E120" s="8"/>
      <c r="F120" s="8"/>
      <c r="G120" s="8"/>
      <c r="H120" s="9"/>
    </row>
    <row r="121" spans="1:8" ht="15.95" thickBot="1">
      <c r="A121" s="6"/>
      <c r="B121" s="6"/>
      <c r="C121" s="7"/>
      <c r="D121" s="8"/>
      <c r="E121" s="8"/>
      <c r="F121" s="8"/>
      <c r="G121" s="8"/>
      <c r="H121" s="9"/>
    </row>
    <row r="122" spans="1:8" ht="15.95" thickBot="1">
      <c r="A122" s="6"/>
      <c r="B122" s="6"/>
      <c r="C122" s="7"/>
      <c r="D122" s="8"/>
      <c r="E122" s="8"/>
      <c r="F122" s="8"/>
      <c r="G122" s="8"/>
      <c r="H122" s="9"/>
    </row>
    <row r="123" spans="1:8" ht="15.95" thickBot="1">
      <c r="A123" s="6"/>
      <c r="B123" s="6"/>
      <c r="C123" s="7"/>
      <c r="D123" s="8"/>
      <c r="E123" s="8"/>
      <c r="F123" s="8"/>
      <c r="G123" s="8"/>
      <c r="H123" s="9"/>
    </row>
    <row r="124" spans="1:8" ht="15.95" thickBot="1">
      <c r="A124" s="6"/>
      <c r="B124" s="6"/>
      <c r="C124" s="7"/>
      <c r="D124" s="8"/>
      <c r="E124" s="8"/>
      <c r="F124" s="8"/>
      <c r="G124" s="8"/>
      <c r="H124" s="9"/>
    </row>
    <row r="125" spans="1:8" ht="15.95" thickBot="1">
      <c r="A125" s="6"/>
      <c r="B125" s="6"/>
      <c r="C125" s="7"/>
      <c r="D125" s="8"/>
      <c r="E125" s="8"/>
      <c r="F125" s="8"/>
      <c r="G125" s="8"/>
      <c r="H125" s="9"/>
    </row>
    <row r="126" spans="1:8" ht="15.95" thickBot="1">
      <c r="A126" s="6"/>
      <c r="B126" s="6"/>
      <c r="C126" s="7"/>
      <c r="D126" s="8"/>
      <c r="E126" s="8"/>
      <c r="F126" s="8"/>
      <c r="G126" s="8"/>
      <c r="H126" s="9"/>
    </row>
    <row r="127" spans="1:8" ht="15.95" thickBot="1">
      <c r="A127" s="6"/>
      <c r="B127" s="6"/>
      <c r="C127" s="7"/>
      <c r="D127" s="8"/>
      <c r="E127" s="8"/>
      <c r="F127" s="8"/>
      <c r="G127" s="8"/>
      <c r="H127" s="9"/>
    </row>
    <row r="128" spans="1:8" ht="15.95" thickBot="1">
      <c r="A128" s="6"/>
      <c r="B128" s="6"/>
      <c r="C128" s="7"/>
      <c r="D128" s="8"/>
      <c r="E128" s="8"/>
      <c r="F128" s="8"/>
      <c r="G128" s="8"/>
      <c r="H128" s="9"/>
    </row>
    <row r="129" spans="1:8" ht="15.95" thickBot="1">
      <c r="A129" s="6"/>
      <c r="B129" s="6"/>
      <c r="C129" s="7"/>
      <c r="D129" s="8"/>
      <c r="E129" s="8"/>
      <c r="F129" s="8"/>
      <c r="G129" s="8"/>
      <c r="H129" s="9"/>
    </row>
    <row r="130" spans="1:8" ht="15.95" thickBot="1">
      <c r="A130" s="6"/>
      <c r="B130" s="6"/>
      <c r="C130" s="7"/>
      <c r="D130" s="8"/>
      <c r="E130" s="8"/>
      <c r="F130" s="8"/>
      <c r="G130" s="8"/>
      <c r="H130" s="9"/>
    </row>
    <row r="131" spans="1:8" ht="15.95" thickBot="1">
      <c r="A131" s="6"/>
      <c r="B131" s="6"/>
      <c r="C131" s="7"/>
      <c r="D131" s="8"/>
      <c r="E131" s="8"/>
      <c r="F131" s="8"/>
      <c r="G131" s="8"/>
      <c r="H131" s="9"/>
    </row>
    <row r="132" spans="1:8" ht="15.95" thickBot="1">
      <c r="A132" s="6"/>
      <c r="B132" s="6"/>
      <c r="C132" s="7"/>
      <c r="D132" s="8"/>
      <c r="E132" s="8"/>
      <c r="F132" s="8"/>
      <c r="G132" s="8"/>
      <c r="H132" s="9"/>
    </row>
    <row r="133" spans="1:8" ht="15.95" thickBot="1">
      <c r="A133" s="6"/>
      <c r="B133" s="6"/>
      <c r="C133" s="7"/>
      <c r="D133" s="8"/>
      <c r="E133" s="8"/>
      <c r="F133" s="8"/>
      <c r="G133" s="8"/>
      <c r="H133" s="9"/>
    </row>
    <row r="134" spans="1:8" ht="15.95" thickBot="1">
      <c r="A134" s="6"/>
      <c r="B134" s="6"/>
      <c r="C134" s="7"/>
      <c r="D134" s="8"/>
      <c r="E134" s="8"/>
      <c r="F134" s="8"/>
      <c r="G134" s="8"/>
      <c r="H134" s="9"/>
    </row>
    <row r="135" spans="1:8" ht="15.95" thickBot="1">
      <c r="A135" s="6"/>
      <c r="B135" s="6"/>
      <c r="C135" s="7"/>
      <c r="D135" s="8"/>
      <c r="E135" s="8"/>
      <c r="F135" s="8"/>
      <c r="G135" s="8"/>
      <c r="H135" s="9"/>
    </row>
    <row r="136" spans="1:8" ht="15.95" thickBot="1">
      <c r="A136" s="6"/>
      <c r="B136" s="6"/>
      <c r="C136" s="7"/>
      <c r="D136" s="8"/>
      <c r="E136" s="8"/>
      <c r="F136" s="8"/>
      <c r="G136" s="8"/>
      <c r="H136" s="9"/>
    </row>
    <row r="137" spans="1:8" ht="15.95" thickBot="1">
      <c r="A137" s="6"/>
      <c r="B137" s="6"/>
      <c r="C137" s="7"/>
      <c r="D137" s="8"/>
      <c r="E137" s="8"/>
      <c r="F137" s="8"/>
      <c r="G137" s="8"/>
      <c r="H137" s="9"/>
    </row>
    <row r="138" spans="1:8" ht="15.95" thickBot="1">
      <c r="A138" s="6"/>
      <c r="B138" s="6"/>
      <c r="C138" s="7"/>
      <c r="D138" s="8"/>
      <c r="E138" s="8"/>
      <c r="F138" s="8"/>
      <c r="G138" s="8"/>
      <c r="H138" s="9"/>
    </row>
    <row r="139" spans="1:8" ht="15.95" thickBot="1">
      <c r="A139" s="6"/>
      <c r="B139" s="6"/>
      <c r="C139" s="7"/>
      <c r="D139" s="8"/>
      <c r="E139" s="8"/>
      <c r="F139" s="8"/>
      <c r="G139" s="8"/>
      <c r="H139" s="9"/>
    </row>
    <row r="140" spans="1:8" ht="15.95" thickBot="1">
      <c r="A140" s="6"/>
      <c r="B140" s="6"/>
      <c r="C140" s="7"/>
      <c r="D140" s="8"/>
      <c r="E140" s="8"/>
      <c r="F140" s="8"/>
      <c r="G140" s="8"/>
      <c r="H140" s="9"/>
    </row>
    <row r="141" spans="1:8" ht="15.95" thickBot="1">
      <c r="A141" s="6"/>
      <c r="B141" s="6"/>
      <c r="C141" s="7"/>
      <c r="D141" s="8"/>
      <c r="E141" s="8"/>
      <c r="F141" s="8"/>
      <c r="G141" s="8"/>
      <c r="H141" s="9"/>
    </row>
    <row r="142" spans="1:8" ht="15.95" thickBot="1">
      <c r="A142" s="6"/>
      <c r="B142" s="6"/>
      <c r="C142" s="7"/>
      <c r="D142" s="8"/>
      <c r="E142" s="8"/>
      <c r="F142" s="8"/>
      <c r="G142" s="8"/>
      <c r="H142" s="9"/>
    </row>
    <row r="143" spans="1:8" ht="15.95" thickBot="1">
      <c r="A143" s="6"/>
      <c r="B143" s="6"/>
      <c r="C143" s="7"/>
      <c r="D143" s="8"/>
      <c r="E143" s="8"/>
      <c r="F143" s="8"/>
      <c r="G143" s="8"/>
      <c r="H143" s="9"/>
    </row>
    <row r="144" spans="1:8" ht="15.95" thickBot="1">
      <c r="A144" s="6"/>
      <c r="B144" s="6"/>
      <c r="C144" s="7"/>
      <c r="D144" s="8"/>
      <c r="E144" s="8"/>
      <c r="F144" s="8"/>
      <c r="G144" s="8"/>
      <c r="H144" s="9"/>
    </row>
    <row r="145" spans="1:8" ht="15.95" thickBot="1">
      <c r="A145" s="6"/>
      <c r="B145" s="6"/>
      <c r="C145" s="7"/>
      <c r="D145" s="8"/>
      <c r="E145" s="8"/>
      <c r="F145" s="8"/>
      <c r="G145" s="8"/>
      <c r="H145" s="9"/>
    </row>
    <row r="146" spans="1:8" ht="15.95" thickBot="1">
      <c r="A146" s="6"/>
      <c r="B146" s="6"/>
      <c r="C146" s="7"/>
      <c r="D146" s="8"/>
      <c r="E146" s="8"/>
      <c r="F146" s="8"/>
      <c r="G146" s="8"/>
      <c r="H146" s="9"/>
    </row>
    <row r="147" spans="1:8" ht="15.95" thickBot="1">
      <c r="A147" s="6"/>
      <c r="B147" s="6"/>
      <c r="C147" s="7"/>
      <c r="D147" s="8"/>
      <c r="E147" s="8"/>
      <c r="F147" s="8"/>
      <c r="G147" s="8"/>
      <c r="H147" s="9"/>
    </row>
    <row r="148" spans="1:8" ht="15.95" thickBot="1">
      <c r="A148" s="6"/>
      <c r="B148" s="6"/>
      <c r="C148" s="7"/>
      <c r="D148" s="8"/>
      <c r="E148" s="8"/>
      <c r="F148" s="8"/>
      <c r="G148" s="8"/>
      <c r="H148" s="9"/>
    </row>
    <row r="149" spans="1:8" ht="15.95" thickBot="1">
      <c r="A149" s="6"/>
      <c r="B149" s="6"/>
      <c r="C149" s="7"/>
      <c r="D149" s="8"/>
      <c r="E149" s="8"/>
      <c r="F149" s="8"/>
      <c r="G149" s="8"/>
      <c r="H149" s="9"/>
    </row>
    <row r="150" spans="1:8" ht="15.95" thickBot="1">
      <c r="A150" s="6"/>
      <c r="B150" s="6"/>
      <c r="C150" s="7"/>
      <c r="D150" s="8"/>
      <c r="E150" s="8"/>
      <c r="F150" s="8"/>
      <c r="G150" s="8"/>
      <c r="H150" s="9"/>
    </row>
    <row r="151" spans="1:8" ht="15.95" thickBot="1">
      <c r="A151" s="6"/>
      <c r="B151" s="6"/>
      <c r="C151" s="7"/>
      <c r="D151" s="8"/>
      <c r="E151" s="8"/>
      <c r="F151" s="8"/>
      <c r="G151" s="8"/>
      <c r="H151" s="9"/>
    </row>
    <row r="152" spans="1:8" ht="15.95" thickBot="1">
      <c r="A152" s="6"/>
      <c r="B152" s="6"/>
      <c r="C152" s="7"/>
      <c r="D152" s="8"/>
      <c r="E152" s="8"/>
      <c r="F152" s="8"/>
      <c r="G152" s="8"/>
      <c r="H152" s="9"/>
    </row>
    <row r="153" spans="1:8" ht="15.95" thickBot="1">
      <c r="A153" s="6"/>
      <c r="B153" s="6"/>
      <c r="C153" s="7"/>
      <c r="D153" s="8"/>
      <c r="E153" s="8"/>
      <c r="F153" s="8"/>
      <c r="G153" s="8"/>
      <c r="H153" s="9"/>
    </row>
    <row r="154" spans="1:8" ht="15.95" thickBot="1">
      <c r="A154" s="6"/>
      <c r="B154" s="6"/>
      <c r="C154" s="7"/>
      <c r="D154" s="8"/>
      <c r="E154" s="8"/>
      <c r="F154" s="8"/>
      <c r="G154" s="8"/>
      <c r="H154" s="9"/>
    </row>
    <row r="155" spans="1:8" ht="15.95" thickBot="1">
      <c r="A155" s="6"/>
      <c r="B155" s="6"/>
      <c r="C155" s="7"/>
      <c r="D155" s="8"/>
      <c r="E155" s="8"/>
      <c r="F155" s="8"/>
      <c r="G155" s="8"/>
      <c r="H155" s="9"/>
    </row>
    <row r="156" spans="1:8" ht="15.95" thickBot="1">
      <c r="A156" s="6"/>
      <c r="B156" s="6"/>
      <c r="C156" s="7"/>
      <c r="D156" s="8"/>
      <c r="E156" s="8"/>
      <c r="F156" s="8"/>
      <c r="G156" s="8"/>
      <c r="H156" s="9"/>
    </row>
    <row r="157" spans="1:8" ht="15.95" thickBot="1">
      <c r="A157" s="6"/>
      <c r="B157" s="6"/>
      <c r="C157" s="7"/>
      <c r="D157" s="8"/>
      <c r="E157" s="8"/>
      <c r="F157" s="8"/>
      <c r="G157" s="8"/>
      <c r="H157" s="9"/>
    </row>
    <row r="158" spans="1:8" ht="15.95" thickBot="1">
      <c r="A158" s="6"/>
      <c r="B158" s="6"/>
      <c r="C158" s="7"/>
      <c r="D158" s="8"/>
      <c r="E158" s="8"/>
      <c r="F158" s="8"/>
      <c r="G158" s="8"/>
      <c r="H158" s="9"/>
    </row>
    <row r="159" spans="1:8" ht="15.95" thickBot="1">
      <c r="A159" s="6"/>
      <c r="B159" s="6"/>
      <c r="C159" s="7"/>
      <c r="D159" s="8"/>
      <c r="E159" s="8"/>
      <c r="F159" s="8"/>
      <c r="G159" s="8"/>
      <c r="H159" s="9"/>
    </row>
    <row r="160" spans="1:8" ht="15.95" thickBot="1">
      <c r="A160" s="6"/>
      <c r="B160" s="6"/>
      <c r="C160" s="7"/>
      <c r="D160" s="8"/>
      <c r="E160" s="8"/>
      <c r="F160" s="8"/>
      <c r="G160" s="8"/>
      <c r="H160" s="9"/>
    </row>
    <row r="161" spans="1:8" ht="15.95" thickBot="1">
      <c r="A161" s="6"/>
      <c r="B161" s="6"/>
      <c r="C161" s="7"/>
      <c r="D161" s="8"/>
      <c r="E161" s="8"/>
      <c r="F161" s="8"/>
      <c r="G161" s="8"/>
      <c r="H161" s="9"/>
    </row>
    <row r="162" spans="1:8" ht="15.95" thickBot="1">
      <c r="A162" s="6"/>
      <c r="B162" s="6"/>
      <c r="C162" s="7"/>
      <c r="D162" s="8"/>
      <c r="E162" s="8"/>
      <c r="F162" s="8"/>
      <c r="G162" s="8"/>
      <c r="H162" s="9"/>
    </row>
    <row r="163" spans="1:8" ht="15.95" thickBot="1">
      <c r="A163" s="6"/>
      <c r="B163" s="6"/>
      <c r="C163" s="7"/>
      <c r="D163" s="8"/>
      <c r="E163" s="8"/>
      <c r="F163" s="8"/>
      <c r="G163" s="8"/>
      <c r="H163" s="9"/>
    </row>
    <row r="164" spans="1:8" ht="15.95" thickBot="1">
      <c r="A164" s="6"/>
      <c r="B164" s="6"/>
      <c r="C164" s="7"/>
      <c r="D164" s="8"/>
      <c r="E164" s="8"/>
      <c r="F164" s="8"/>
      <c r="G164" s="8"/>
      <c r="H164" s="9"/>
    </row>
    <row r="165" spans="1:8" ht="15.95" thickBot="1">
      <c r="A165" s="6"/>
      <c r="B165" s="6"/>
      <c r="C165" s="7"/>
      <c r="D165" s="8"/>
      <c r="E165" s="8"/>
      <c r="F165" s="8"/>
      <c r="G165" s="8"/>
      <c r="H165" s="9"/>
    </row>
    <row r="166" spans="1:8" ht="15.95" thickBot="1">
      <c r="A166" s="6"/>
      <c r="B166" s="6"/>
      <c r="C166" s="7"/>
      <c r="D166" s="8"/>
      <c r="E166" s="8"/>
      <c r="F166" s="8"/>
      <c r="G166" s="8"/>
      <c r="H166" s="9"/>
    </row>
    <row r="167" spans="1:8" ht="15.95" thickBot="1">
      <c r="A167" s="6"/>
      <c r="B167" s="6"/>
      <c r="C167" s="7"/>
      <c r="D167" s="8"/>
      <c r="E167" s="8"/>
      <c r="F167" s="8"/>
      <c r="G167" s="8"/>
      <c r="H167" s="9"/>
    </row>
    <row r="168" spans="1:8" ht="15.95" thickBot="1">
      <c r="A168" s="6"/>
      <c r="B168" s="6"/>
      <c r="C168" s="7"/>
      <c r="D168" s="8"/>
      <c r="E168" s="8"/>
      <c r="F168" s="8"/>
      <c r="G168" s="8"/>
      <c r="H168" s="9"/>
    </row>
    <row r="169" spans="1:8" ht="15.95" thickBot="1">
      <c r="A169" s="6"/>
      <c r="B169" s="6"/>
      <c r="C169" s="7"/>
      <c r="D169" s="8"/>
      <c r="E169" s="8"/>
      <c r="F169" s="8"/>
      <c r="G169" s="8"/>
      <c r="H169" s="9"/>
    </row>
    <row r="170" spans="1:8" ht="15.95" thickBot="1">
      <c r="A170" s="6"/>
      <c r="B170" s="6"/>
      <c r="C170" s="7"/>
      <c r="D170" s="8"/>
      <c r="E170" s="8"/>
      <c r="F170" s="8"/>
      <c r="G170" s="8"/>
      <c r="H170" s="9"/>
    </row>
    <row r="171" spans="1:8" ht="15.95" thickBot="1">
      <c r="A171" s="6"/>
      <c r="B171" s="6"/>
      <c r="C171" s="7"/>
      <c r="D171" s="8"/>
      <c r="E171" s="8"/>
      <c r="F171" s="8"/>
      <c r="G171" s="8"/>
      <c r="H171" s="9"/>
    </row>
    <row r="172" spans="1:8" ht="15.95" thickBot="1">
      <c r="A172" s="6"/>
      <c r="B172" s="6"/>
      <c r="C172" s="7"/>
      <c r="D172" s="8"/>
      <c r="E172" s="8"/>
      <c r="F172" s="8"/>
      <c r="G172" s="8"/>
      <c r="H172" s="9"/>
    </row>
    <row r="173" spans="1:8" ht="15.95" thickBot="1">
      <c r="A173" s="6"/>
      <c r="B173" s="6"/>
      <c r="C173" s="7"/>
      <c r="D173" s="8"/>
      <c r="E173" s="8"/>
      <c r="F173" s="8"/>
      <c r="G173" s="8"/>
      <c r="H173" s="9"/>
    </row>
    <row r="174" spans="1:8" ht="15.95" thickBot="1">
      <c r="A174" s="6"/>
      <c r="B174" s="6"/>
      <c r="C174" s="7"/>
      <c r="D174" s="8"/>
      <c r="E174" s="8"/>
      <c r="F174" s="8"/>
      <c r="G174" s="8"/>
      <c r="H174" s="9"/>
    </row>
    <row r="175" spans="1:8" ht="15.95" thickBot="1">
      <c r="A175" s="6"/>
      <c r="B175" s="6"/>
      <c r="C175" s="7"/>
      <c r="D175" s="8"/>
      <c r="E175" s="8"/>
      <c r="F175" s="8"/>
      <c r="G175" s="8"/>
      <c r="H175" s="9"/>
    </row>
    <row r="176" spans="1:8" ht="15.95" thickBot="1">
      <c r="A176" s="6"/>
      <c r="B176" s="6"/>
      <c r="C176" s="7"/>
      <c r="D176" s="8"/>
      <c r="E176" s="8"/>
      <c r="F176" s="8"/>
      <c r="G176" s="8"/>
      <c r="H176" s="9"/>
    </row>
    <row r="177" spans="1:8" ht="15.95" thickBot="1">
      <c r="A177" s="6"/>
      <c r="B177" s="6"/>
      <c r="C177" s="7"/>
      <c r="D177" s="8"/>
      <c r="E177" s="8"/>
      <c r="F177" s="8"/>
      <c r="G177" s="8"/>
      <c r="H177" s="9"/>
    </row>
    <row r="178" spans="1:8" ht="15.95" thickBot="1">
      <c r="A178" s="6"/>
      <c r="B178" s="6"/>
      <c r="C178" s="7"/>
      <c r="D178" s="8"/>
      <c r="E178" s="8"/>
      <c r="F178" s="8"/>
      <c r="G178" s="8"/>
      <c r="H178" s="9"/>
    </row>
    <row r="179" spans="1:8" ht="15.95" thickBot="1">
      <c r="A179" s="6"/>
      <c r="B179" s="6"/>
      <c r="C179" s="7"/>
      <c r="D179" s="8"/>
      <c r="E179" s="8"/>
      <c r="F179" s="8"/>
      <c r="G179" s="8"/>
      <c r="H179" s="9"/>
    </row>
    <row r="180" spans="1:8" ht="15.95" thickBot="1">
      <c r="A180" s="6"/>
      <c r="B180" s="6"/>
      <c r="C180" s="7"/>
      <c r="D180" s="8"/>
      <c r="E180" s="8"/>
      <c r="F180" s="8"/>
      <c r="G180" s="8"/>
      <c r="H180" s="9"/>
    </row>
    <row r="181" spans="1:8" ht="15.95" thickBot="1">
      <c r="A181" s="6"/>
      <c r="B181" s="6"/>
      <c r="C181" s="7"/>
      <c r="D181" s="8"/>
      <c r="E181" s="8"/>
      <c r="F181" s="8"/>
      <c r="G181" s="8"/>
      <c r="H181" s="9"/>
    </row>
    <row r="182" spans="1:8" ht="15.95" thickBot="1">
      <c r="A182" s="6"/>
      <c r="B182" s="6"/>
      <c r="C182" s="7"/>
      <c r="D182" s="8"/>
      <c r="E182" s="8"/>
      <c r="F182" s="8"/>
      <c r="G182" s="8"/>
      <c r="H182" s="9"/>
    </row>
    <row r="183" spans="1:8" ht="15.95" thickBot="1">
      <c r="A183" s="6"/>
      <c r="B183" s="6"/>
      <c r="C183" s="7"/>
      <c r="D183" s="8"/>
      <c r="E183" s="8"/>
      <c r="F183" s="8"/>
      <c r="G183" s="8"/>
      <c r="H183" s="9"/>
    </row>
    <row r="184" spans="1:8" ht="15.95" thickBot="1">
      <c r="A184" s="6"/>
      <c r="B184" s="6"/>
      <c r="C184" s="7"/>
      <c r="D184" s="8"/>
      <c r="E184" s="8"/>
      <c r="F184" s="8"/>
      <c r="G184" s="8"/>
      <c r="H184" s="9"/>
    </row>
    <row r="185" spans="1:8" ht="15.95" thickBot="1">
      <c r="A185" s="6"/>
      <c r="B185" s="6"/>
      <c r="C185" s="7"/>
      <c r="D185" s="8"/>
      <c r="E185" s="8"/>
      <c r="F185" s="8"/>
      <c r="G185" s="8"/>
      <c r="H185" s="9"/>
    </row>
    <row r="186" spans="1:8" ht="15.95" thickBot="1">
      <c r="A186" s="6"/>
      <c r="B186" s="6"/>
      <c r="C186" s="7"/>
      <c r="D186" s="8"/>
      <c r="E186" s="8"/>
      <c r="F186" s="8"/>
      <c r="G186" s="8"/>
      <c r="H186" s="9"/>
    </row>
    <row r="187" spans="1:8" ht="15.95" thickBot="1">
      <c r="A187" s="6"/>
      <c r="B187" s="6"/>
      <c r="C187" s="7"/>
      <c r="D187" s="8"/>
      <c r="E187" s="8"/>
      <c r="F187" s="8"/>
      <c r="G187" s="8"/>
      <c r="H187" s="9"/>
    </row>
    <row r="188" spans="1:8" ht="15.95" thickBot="1">
      <c r="A188" s="6"/>
      <c r="B188" s="6"/>
      <c r="C188" s="7"/>
      <c r="D188" s="8"/>
      <c r="E188" s="8"/>
      <c r="F188" s="8"/>
      <c r="G188" s="8"/>
      <c r="H188" s="9"/>
    </row>
    <row r="189" spans="1:8" ht="15.95" thickBot="1">
      <c r="A189" s="6"/>
      <c r="B189" s="6"/>
      <c r="C189" s="7"/>
      <c r="D189" s="8"/>
      <c r="E189" s="8"/>
      <c r="F189" s="8"/>
      <c r="G189" s="8"/>
      <c r="H189" s="9"/>
    </row>
    <row r="190" spans="1:8" ht="15.95" thickBot="1">
      <c r="A190" s="6"/>
      <c r="B190" s="6"/>
      <c r="C190" s="7"/>
      <c r="D190" s="8"/>
      <c r="E190" s="8"/>
      <c r="F190" s="8"/>
      <c r="G190" s="8"/>
      <c r="H190" s="9"/>
    </row>
    <row r="191" spans="1:8" ht="15.95" thickBot="1">
      <c r="A191" s="6"/>
      <c r="B191" s="6"/>
      <c r="C191" s="7"/>
      <c r="D191" s="8"/>
      <c r="E191" s="8"/>
      <c r="F191" s="8"/>
      <c r="G191" s="8"/>
      <c r="H191" s="9"/>
    </row>
    <row r="192" spans="1:8" ht="15.95" thickBot="1">
      <c r="A192" s="6"/>
      <c r="B192" s="6"/>
      <c r="C192" s="7"/>
      <c r="D192" s="8"/>
      <c r="E192" s="8"/>
      <c r="F192" s="8"/>
      <c r="G192" s="8"/>
      <c r="H192" s="9"/>
    </row>
    <row r="193" spans="1:8" ht="15.95" thickBot="1">
      <c r="A193" s="6"/>
      <c r="B193" s="6"/>
      <c r="C193" s="7"/>
      <c r="D193" s="8"/>
      <c r="E193" s="8"/>
      <c r="F193" s="8"/>
      <c r="G193" s="8"/>
      <c r="H193" s="9"/>
    </row>
    <row r="194" spans="1:8" ht="15.95" thickBot="1">
      <c r="A194" s="6"/>
      <c r="B194" s="6"/>
      <c r="C194" s="7"/>
      <c r="D194" s="8"/>
      <c r="E194" s="8"/>
      <c r="F194" s="8"/>
      <c r="G194" s="8"/>
      <c r="H194" s="9"/>
    </row>
    <row r="195" spans="1:8" ht="15.95" thickBot="1">
      <c r="A195" s="6"/>
      <c r="B195" s="6"/>
      <c r="C195" s="7"/>
      <c r="D195" s="8"/>
      <c r="E195" s="8"/>
      <c r="F195" s="8"/>
      <c r="G195" s="8"/>
      <c r="H195" s="9"/>
    </row>
    <row r="196" spans="1:8" ht="15.95" thickBot="1">
      <c r="A196" s="6"/>
      <c r="B196" s="6"/>
      <c r="C196" s="7"/>
      <c r="D196" s="8"/>
      <c r="E196" s="8"/>
      <c r="F196" s="8"/>
      <c r="G196" s="8"/>
      <c r="H196" s="9"/>
    </row>
    <row r="197" spans="1:8" ht="15.95" thickBot="1">
      <c r="A197" s="6"/>
      <c r="B197" s="6"/>
      <c r="C197" s="7"/>
      <c r="D197" s="8"/>
      <c r="E197" s="8"/>
      <c r="F197" s="8"/>
      <c r="G197" s="8"/>
      <c r="H197" s="9"/>
    </row>
    <row r="198" spans="1:8" ht="15.95" thickBot="1">
      <c r="A198" s="6"/>
      <c r="B198" s="6"/>
      <c r="C198" s="7"/>
      <c r="D198" s="8"/>
      <c r="E198" s="8"/>
      <c r="F198" s="8"/>
      <c r="G198" s="8"/>
      <c r="H198" s="9"/>
    </row>
    <row r="199" spans="1:8" ht="15.95" thickBot="1">
      <c r="A199" s="6"/>
      <c r="B199" s="6"/>
      <c r="C199" s="7"/>
      <c r="D199" s="8"/>
      <c r="E199" s="8"/>
      <c r="F199" s="8"/>
      <c r="G199" s="8"/>
      <c r="H199" s="9"/>
    </row>
    <row r="200" spans="1:8" ht="15.95" thickBot="1">
      <c r="A200" s="6"/>
      <c r="B200" s="6"/>
      <c r="C200" s="7"/>
      <c r="D200" s="8"/>
      <c r="E200" s="8"/>
      <c r="F200" s="8"/>
      <c r="G200" s="8"/>
      <c r="H200" s="9"/>
    </row>
    <row r="201" spans="1:8" ht="15.95" thickBot="1">
      <c r="A201" s="6"/>
      <c r="B201" s="6"/>
      <c r="C201" s="7"/>
      <c r="D201" s="8"/>
      <c r="E201" s="8"/>
      <c r="F201" s="8"/>
      <c r="G201" s="8"/>
      <c r="H201" s="9"/>
    </row>
    <row r="202" spans="1:8" ht="15.95" thickBot="1">
      <c r="A202" s="6"/>
      <c r="B202" s="6"/>
      <c r="C202" s="7"/>
      <c r="D202" s="8"/>
      <c r="E202" s="8"/>
      <c r="F202" s="8"/>
      <c r="G202" s="8"/>
      <c r="H202" s="9"/>
    </row>
    <row r="203" spans="1:8" ht="15.95" thickBot="1">
      <c r="A203" s="6"/>
      <c r="B203" s="6"/>
      <c r="C203" s="7"/>
      <c r="D203" s="8"/>
      <c r="E203" s="8"/>
      <c r="F203" s="8"/>
      <c r="G203" s="8"/>
      <c r="H203" s="9"/>
    </row>
    <row r="204" spans="1:8" ht="15.95" thickBot="1">
      <c r="A204" s="6"/>
      <c r="B204" s="6"/>
      <c r="C204" s="7"/>
      <c r="D204" s="8"/>
      <c r="E204" s="8"/>
      <c r="F204" s="8"/>
      <c r="G204" s="8"/>
      <c r="H204" s="9"/>
    </row>
    <row r="205" spans="1:8" ht="15.95" thickBot="1">
      <c r="A205" s="6"/>
      <c r="B205" s="6"/>
      <c r="C205" s="7"/>
      <c r="D205" s="8"/>
      <c r="E205" s="8"/>
      <c r="F205" s="8"/>
      <c r="G205" s="8"/>
      <c r="H205" s="9"/>
    </row>
    <row r="206" spans="1:8" ht="15.95" thickBot="1">
      <c r="A206" s="6"/>
      <c r="B206" s="6"/>
      <c r="C206" s="7"/>
      <c r="D206" s="8"/>
      <c r="E206" s="8"/>
      <c r="F206" s="8"/>
      <c r="G206" s="8"/>
      <c r="H206" s="9"/>
    </row>
    <row r="207" spans="1:8" ht="15.95" thickBot="1">
      <c r="A207" s="6"/>
      <c r="B207" s="6"/>
      <c r="C207" s="7"/>
      <c r="D207" s="8"/>
      <c r="E207" s="8"/>
      <c r="F207" s="8"/>
      <c r="G207" s="8"/>
      <c r="H207" s="9"/>
    </row>
    <row r="208" spans="1:8" ht="15.95" thickBot="1">
      <c r="A208" s="6"/>
      <c r="B208" s="6"/>
      <c r="C208" s="7"/>
      <c r="D208" s="8"/>
      <c r="E208" s="8"/>
      <c r="F208" s="8"/>
      <c r="G208" s="8"/>
      <c r="H208" s="9"/>
    </row>
    <row r="209" spans="1:8" ht="15.95" thickBot="1">
      <c r="A209" s="6"/>
      <c r="B209" s="6"/>
      <c r="C209" s="7"/>
      <c r="D209" s="8"/>
      <c r="E209" s="8"/>
      <c r="F209" s="8"/>
      <c r="G209" s="8"/>
      <c r="H209" s="9"/>
    </row>
    <row r="210" spans="1:8" ht="15.95" thickBot="1">
      <c r="A210" s="6"/>
      <c r="B210" s="6"/>
      <c r="C210" s="7"/>
      <c r="D210" s="8"/>
      <c r="E210" s="8"/>
      <c r="F210" s="8"/>
      <c r="G210" s="8"/>
      <c r="H210" s="9"/>
    </row>
    <row r="211" spans="1:8" ht="15.95" thickBot="1">
      <c r="A211" s="6"/>
      <c r="B211" s="6"/>
      <c r="C211" s="7"/>
      <c r="D211" s="8"/>
      <c r="E211" s="8"/>
      <c r="F211" s="8"/>
      <c r="G211" s="8"/>
      <c r="H211" s="9"/>
    </row>
    <row r="212" spans="1:8" ht="15.95" thickBot="1">
      <c r="A212" s="6"/>
      <c r="B212" s="6"/>
      <c r="C212" s="7"/>
      <c r="D212" s="8"/>
      <c r="E212" s="8"/>
      <c r="F212" s="8"/>
      <c r="G212" s="8"/>
      <c r="H212" s="9"/>
    </row>
    <row r="213" spans="1:8" ht="15.95" thickBot="1">
      <c r="A213" s="6"/>
      <c r="B213" s="6"/>
      <c r="C213" s="7"/>
      <c r="D213" s="8"/>
      <c r="E213" s="8"/>
      <c r="F213" s="8"/>
      <c r="G213" s="8"/>
      <c r="H213" s="9"/>
    </row>
    <row r="214" spans="1:8" ht="15.95" thickBot="1">
      <c r="A214" s="6"/>
      <c r="B214" s="6"/>
      <c r="C214" s="7"/>
      <c r="D214" s="8"/>
      <c r="E214" s="8"/>
      <c r="F214" s="8"/>
      <c r="G214" s="8"/>
      <c r="H214" s="9"/>
    </row>
    <row r="215" spans="1:8" ht="15.95" thickBot="1">
      <c r="A215" s="6"/>
      <c r="B215" s="6"/>
      <c r="C215" s="7"/>
      <c r="D215" s="8"/>
      <c r="E215" s="8"/>
      <c r="F215" s="8"/>
      <c r="G215" s="8"/>
      <c r="H215" s="9"/>
    </row>
    <row r="216" spans="1:8" ht="15.95" thickBot="1">
      <c r="A216" s="6"/>
      <c r="B216" s="6"/>
      <c r="C216" s="7"/>
      <c r="D216" s="8"/>
      <c r="E216" s="8"/>
      <c r="F216" s="8"/>
      <c r="G216" s="8"/>
      <c r="H216" s="9"/>
    </row>
    <row r="217" spans="1:8" ht="15.95" thickBot="1">
      <c r="A217" s="6"/>
      <c r="B217" s="6"/>
      <c r="C217" s="7"/>
      <c r="D217" s="8"/>
      <c r="E217" s="8"/>
      <c r="F217" s="8"/>
      <c r="G217" s="8"/>
      <c r="H217" s="9"/>
    </row>
    <row r="218" spans="1:8" ht="15.95" thickBot="1">
      <c r="A218" s="6"/>
      <c r="B218" s="6"/>
      <c r="C218" s="7"/>
      <c r="D218" s="8"/>
      <c r="E218" s="8"/>
      <c r="F218" s="8"/>
      <c r="G218" s="8"/>
      <c r="H218" s="9"/>
    </row>
    <row r="219" spans="1:8" ht="15.95" thickBot="1">
      <c r="A219" s="6"/>
      <c r="B219" s="6"/>
      <c r="C219" s="7"/>
      <c r="D219" s="8"/>
      <c r="E219" s="8"/>
      <c r="F219" s="8"/>
      <c r="G219" s="8"/>
      <c r="H219" s="9"/>
    </row>
    <row r="220" spans="1:8" ht="15.95" thickBot="1">
      <c r="A220" s="6"/>
      <c r="B220" s="6"/>
      <c r="C220" s="7"/>
      <c r="D220" s="8"/>
      <c r="E220" s="8"/>
      <c r="F220" s="8"/>
      <c r="G220" s="8"/>
      <c r="H220" s="9"/>
    </row>
    <row r="221" spans="1:8" ht="15.95" thickBot="1">
      <c r="A221" s="6"/>
      <c r="B221" s="6"/>
      <c r="C221" s="7"/>
      <c r="D221" s="8"/>
      <c r="E221" s="8"/>
      <c r="F221" s="8"/>
      <c r="G221" s="8"/>
      <c r="H221" s="9"/>
    </row>
    <row r="222" spans="1:8" ht="15.95" thickBot="1">
      <c r="A222" s="6"/>
      <c r="B222" s="6"/>
      <c r="C222" s="7"/>
      <c r="D222" s="8"/>
      <c r="E222" s="8"/>
      <c r="F222" s="8"/>
      <c r="G222" s="8"/>
      <c r="H222" s="9"/>
    </row>
    <row r="223" spans="1:8" ht="15.95" thickBot="1">
      <c r="A223" s="6"/>
      <c r="B223" s="6"/>
      <c r="C223" s="7"/>
      <c r="D223" s="8"/>
      <c r="E223" s="8"/>
      <c r="F223" s="8"/>
      <c r="G223" s="8"/>
      <c r="H223" s="9"/>
    </row>
    <row r="224" spans="1:8" ht="30" customHeight="1" thickBot="1">
      <c r="A224" s="6"/>
      <c r="B224" s="6"/>
      <c r="C224" s="7"/>
      <c r="D224" s="8"/>
      <c r="E224" s="8"/>
      <c r="F224" s="8"/>
      <c r="G224" s="8"/>
      <c r="H224" s="9"/>
    </row>
    <row r="225" spans="1:8" ht="30" customHeight="1" thickBot="1">
      <c r="A225" s="6"/>
      <c r="B225" s="6"/>
      <c r="C225" s="7"/>
      <c r="D225" s="8"/>
      <c r="E225" s="8"/>
      <c r="F225" s="8"/>
      <c r="G225" s="8"/>
      <c r="H225" s="9"/>
    </row>
    <row r="226" spans="1:8" ht="30" customHeight="1" thickBot="1">
      <c r="A226" s="6"/>
      <c r="B226" s="6"/>
      <c r="C226" s="7"/>
      <c r="D226" s="8"/>
      <c r="E226" s="8"/>
      <c r="F226" s="8"/>
      <c r="G226" s="8"/>
      <c r="H226" s="9"/>
    </row>
    <row r="227" spans="1:8" ht="30" customHeight="1" thickBot="1">
      <c r="A227" s="6"/>
      <c r="B227" s="6"/>
      <c r="C227" s="7"/>
      <c r="D227" s="8"/>
      <c r="E227" s="8"/>
      <c r="F227" s="8"/>
      <c r="G227" s="8"/>
      <c r="H227" s="9"/>
    </row>
    <row r="228" spans="1:8" ht="30" customHeight="1" thickBot="1">
      <c r="A228" s="6"/>
      <c r="B228" s="6"/>
      <c r="C228" s="7"/>
      <c r="D228" s="8"/>
      <c r="E228" s="8"/>
      <c r="F228" s="8"/>
      <c r="G228" s="8"/>
      <c r="H228" s="9"/>
    </row>
    <row r="229" spans="1:8" ht="30" customHeight="1" thickBot="1">
      <c r="A229" s="6"/>
      <c r="B229" s="6"/>
      <c r="C229" s="7"/>
      <c r="D229" s="8"/>
      <c r="E229" s="8"/>
      <c r="F229" s="8"/>
      <c r="G229" s="8"/>
      <c r="H229" s="9"/>
    </row>
    <row r="230" spans="1:8" ht="30" customHeight="1" thickBot="1">
      <c r="A230" s="6"/>
      <c r="B230" s="6"/>
      <c r="C230" s="7"/>
      <c r="D230" s="8"/>
      <c r="E230" s="8"/>
      <c r="F230" s="8"/>
      <c r="G230" s="8"/>
      <c r="H230" s="9"/>
    </row>
    <row r="231" spans="1:8" ht="30" customHeight="1" thickBot="1">
      <c r="A231" s="6"/>
      <c r="B231" s="6"/>
      <c r="C231" s="7"/>
      <c r="D231" s="8"/>
      <c r="E231" s="8"/>
      <c r="F231" s="8"/>
      <c r="G231" s="8"/>
      <c r="H231" s="9"/>
    </row>
    <row r="232" spans="1:8" ht="30" customHeight="1" thickBot="1">
      <c r="A232" s="6"/>
      <c r="B232" s="6"/>
      <c r="C232" s="7"/>
      <c r="D232" s="8"/>
      <c r="E232" s="8"/>
      <c r="F232" s="8"/>
      <c r="G232" s="8"/>
      <c r="H232" s="9"/>
    </row>
    <row r="233" spans="1:8" ht="30" customHeight="1" thickBot="1">
      <c r="A233" s="6"/>
      <c r="B233" s="6"/>
      <c r="C233" s="7"/>
      <c r="D233" s="8"/>
      <c r="E233" s="8"/>
      <c r="F233" s="8"/>
      <c r="G233" s="8"/>
      <c r="H233" s="9"/>
    </row>
    <row r="234" spans="1:8" ht="30" customHeight="1" thickBot="1">
      <c r="A234" s="6"/>
      <c r="B234" s="6"/>
      <c r="C234" s="7"/>
      <c r="D234" s="8"/>
      <c r="E234" s="8"/>
      <c r="F234" s="8"/>
      <c r="G234" s="8"/>
      <c r="H234" s="9"/>
    </row>
    <row r="235" spans="1:8" ht="30" customHeight="1" thickBot="1">
      <c r="A235" s="6"/>
      <c r="B235" s="6"/>
      <c r="C235" s="7"/>
      <c r="D235" s="8"/>
      <c r="E235" s="8"/>
      <c r="F235" s="8"/>
      <c r="G235" s="8"/>
      <c r="H235" s="9"/>
    </row>
    <row r="236" spans="1:8" ht="30" customHeight="1" thickBot="1">
      <c r="A236" s="6"/>
      <c r="B236" s="6"/>
      <c r="C236" s="7"/>
      <c r="D236" s="8"/>
      <c r="E236" s="8"/>
      <c r="F236" s="8"/>
      <c r="G236" s="8"/>
      <c r="H236" s="9"/>
    </row>
    <row r="237" spans="1:8" ht="30" customHeight="1" thickBot="1">
      <c r="A237" s="6"/>
      <c r="B237" s="6"/>
      <c r="C237" s="7"/>
      <c r="D237" s="8"/>
      <c r="E237" s="8"/>
      <c r="F237" s="8"/>
      <c r="G237" s="8"/>
      <c r="H237" s="9"/>
    </row>
    <row r="238" spans="1:8" ht="30" customHeight="1" thickBot="1">
      <c r="A238" s="6"/>
      <c r="B238" s="6"/>
      <c r="C238" s="7"/>
      <c r="D238" s="8"/>
      <c r="E238" s="8"/>
      <c r="F238" s="8"/>
      <c r="G238" s="8"/>
      <c r="H238" s="9"/>
    </row>
    <row r="239" spans="1:8" ht="30" customHeight="1" thickBot="1">
      <c r="A239" s="6"/>
      <c r="B239" s="6"/>
      <c r="C239" s="7"/>
      <c r="D239" s="8"/>
      <c r="E239" s="8"/>
      <c r="F239" s="8"/>
      <c r="G239" s="8"/>
      <c r="H239" s="9"/>
    </row>
    <row r="240" spans="1:8" ht="30" customHeight="1" thickBot="1">
      <c r="A240" s="6"/>
      <c r="B240" s="6"/>
      <c r="C240" s="7"/>
      <c r="D240" s="8"/>
      <c r="E240" s="8"/>
      <c r="F240" s="8"/>
      <c r="G240" s="8"/>
      <c r="H240" s="9"/>
    </row>
    <row r="241" spans="1:8" ht="30" customHeight="1" thickBot="1">
      <c r="A241" s="6"/>
      <c r="B241" s="6"/>
      <c r="C241" s="7"/>
      <c r="D241" s="8"/>
      <c r="E241" s="8"/>
      <c r="F241" s="8"/>
      <c r="G241" s="8"/>
      <c r="H241" s="9"/>
    </row>
    <row r="242" spans="1:8" ht="30" customHeight="1" thickBot="1">
      <c r="A242" s="6"/>
      <c r="B242" s="6"/>
      <c r="C242" s="7"/>
      <c r="D242" s="8"/>
      <c r="E242" s="8"/>
      <c r="F242" s="8"/>
      <c r="G242" s="8"/>
      <c r="H242" s="9"/>
    </row>
    <row r="243" spans="1:8" ht="30" customHeight="1" thickBot="1">
      <c r="A243" s="6"/>
      <c r="B243" s="6"/>
      <c r="C243" s="7"/>
      <c r="D243" s="8"/>
      <c r="E243" s="8"/>
      <c r="F243" s="8"/>
      <c r="G243" s="8"/>
      <c r="H243" s="9"/>
    </row>
    <row r="244" spans="1:8" ht="30" customHeight="1" thickBot="1">
      <c r="A244" s="6"/>
      <c r="B244" s="6"/>
      <c r="C244" s="7"/>
      <c r="D244" s="8"/>
      <c r="E244" s="8"/>
      <c r="F244" s="8"/>
      <c r="G244" s="8"/>
      <c r="H244" s="9"/>
    </row>
    <row r="245" spans="1:8" ht="30" customHeight="1" thickBot="1">
      <c r="A245" s="6"/>
      <c r="B245" s="6"/>
      <c r="C245" s="7"/>
      <c r="D245" s="8"/>
      <c r="E245" s="8"/>
      <c r="F245" s="8"/>
      <c r="G245" s="8"/>
      <c r="H245" s="9"/>
    </row>
    <row r="246" spans="1:8" ht="30" customHeight="1" thickBot="1">
      <c r="A246" s="6"/>
      <c r="B246" s="6"/>
      <c r="C246" s="7"/>
      <c r="D246" s="8"/>
      <c r="E246" s="8"/>
      <c r="F246" s="8"/>
      <c r="G246" s="8"/>
      <c r="H246" s="9"/>
    </row>
    <row r="247" spans="1:8" ht="30" customHeight="1" thickBot="1">
      <c r="A247" s="6"/>
      <c r="B247" s="6"/>
      <c r="C247" s="7"/>
      <c r="D247" s="8"/>
      <c r="E247" s="8"/>
      <c r="F247" s="8"/>
      <c r="G247" s="8"/>
      <c r="H247" s="9"/>
    </row>
    <row r="248" spans="1:8" ht="30" customHeight="1" thickBot="1">
      <c r="A248" s="6"/>
      <c r="B248" s="6"/>
      <c r="C248" s="7"/>
      <c r="D248" s="8"/>
      <c r="E248" s="8"/>
      <c r="F248" s="8"/>
      <c r="G248" s="8"/>
      <c r="H248" s="9"/>
    </row>
    <row r="249" spans="1:8" ht="30" customHeight="1" thickBot="1">
      <c r="A249" s="6"/>
      <c r="B249" s="6"/>
      <c r="C249" s="7"/>
      <c r="D249" s="8"/>
      <c r="E249" s="8"/>
      <c r="F249" s="8"/>
      <c r="G249" s="8"/>
      <c r="H249" s="9"/>
    </row>
    <row r="250" spans="1:8" ht="30" customHeight="1" thickBot="1">
      <c r="A250" s="6"/>
      <c r="B250" s="6"/>
      <c r="C250" s="7"/>
      <c r="D250" s="8"/>
      <c r="E250" s="8"/>
      <c r="F250" s="8"/>
      <c r="G250" s="8"/>
      <c r="H250" s="9"/>
    </row>
    <row r="251" spans="1:8" ht="30" customHeight="1" thickBot="1">
      <c r="A251" s="6"/>
      <c r="B251" s="6"/>
      <c r="C251" s="7"/>
      <c r="D251" s="8"/>
      <c r="E251" s="8"/>
      <c r="F251" s="8"/>
      <c r="G251" s="8"/>
      <c r="H251" s="9"/>
    </row>
    <row r="252" spans="1:8" ht="30" customHeight="1" thickBot="1">
      <c r="A252" s="6"/>
      <c r="B252" s="6"/>
      <c r="C252" s="7"/>
      <c r="D252" s="8"/>
      <c r="E252" s="8"/>
      <c r="F252" s="8"/>
      <c r="G252" s="8"/>
      <c r="H252" s="9"/>
    </row>
    <row r="253" spans="1:8" ht="30" customHeight="1" thickBot="1">
      <c r="A253" s="6"/>
      <c r="B253" s="6"/>
      <c r="C253" s="7"/>
      <c r="D253" s="8"/>
      <c r="E253" s="8"/>
      <c r="F253" s="8"/>
      <c r="G253" s="8"/>
      <c r="H253" s="9"/>
    </row>
    <row r="254" spans="1:8" ht="30" customHeight="1" thickBot="1">
      <c r="A254" s="6"/>
      <c r="B254" s="6"/>
      <c r="C254" s="7"/>
      <c r="D254" s="8"/>
      <c r="E254" s="8"/>
      <c r="F254" s="8"/>
      <c r="G254" s="8"/>
      <c r="H254" s="9"/>
    </row>
    <row r="255" spans="1:8" ht="30" customHeight="1" thickBot="1">
      <c r="A255" s="6"/>
      <c r="B255" s="6"/>
      <c r="C255" s="7"/>
      <c r="D255" s="8"/>
      <c r="E255" s="8"/>
      <c r="F255" s="8"/>
      <c r="G255" s="8"/>
      <c r="H255" s="9"/>
    </row>
    <row r="256" spans="1:8" ht="30" customHeight="1" thickBot="1">
      <c r="A256" s="6"/>
      <c r="B256" s="6"/>
      <c r="C256" s="7"/>
      <c r="D256" s="8"/>
      <c r="E256" s="8"/>
      <c r="F256" s="8"/>
      <c r="G256" s="8"/>
      <c r="H256" s="9"/>
    </row>
    <row r="257" spans="1:8" ht="30" customHeight="1" thickBot="1">
      <c r="A257" s="6"/>
      <c r="B257" s="6"/>
      <c r="C257" s="7"/>
      <c r="D257" s="8"/>
      <c r="E257" s="8"/>
      <c r="F257" s="8"/>
      <c r="G257" s="8"/>
      <c r="H257" s="9"/>
    </row>
    <row r="258" spans="1:8" ht="30" customHeight="1" thickBot="1">
      <c r="A258" s="6"/>
      <c r="B258" s="6"/>
      <c r="C258" s="7"/>
      <c r="D258" s="8"/>
      <c r="E258" s="8"/>
      <c r="F258" s="8"/>
      <c r="G258" s="8"/>
      <c r="H258" s="9"/>
    </row>
    <row r="259" spans="1:8" ht="30" customHeight="1" thickBot="1">
      <c r="A259" s="6"/>
      <c r="B259" s="6"/>
      <c r="C259" s="7"/>
      <c r="D259" s="8"/>
      <c r="E259" s="8"/>
      <c r="F259" s="8"/>
      <c r="G259" s="8"/>
      <c r="H259" s="9"/>
    </row>
    <row r="260" spans="1:8" ht="30" customHeight="1" thickBot="1">
      <c r="A260" s="6"/>
      <c r="B260" s="6"/>
      <c r="C260" s="7"/>
      <c r="D260" s="8"/>
      <c r="E260" s="8"/>
      <c r="F260" s="8"/>
      <c r="G260" s="8"/>
      <c r="H260" s="9"/>
    </row>
    <row r="261" spans="1:8" ht="30" customHeight="1" thickBot="1">
      <c r="A261" s="6"/>
      <c r="B261" s="6"/>
      <c r="C261" s="7"/>
      <c r="D261" s="8"/>
      <c r="E261" s="8"/>
      <c r="F261" s="8"/>
      <c r="G261" s="8"/>
      <c r="H261" s="9"/>
    </row>
    <row r="262" spans="1:8" ht="30" customHeight="1" thickBot="1">
      <c r="A262" s="6"/>
      <c r="B262" s="6"/>
      <c r="C262" s="7"/>
      <c r="D262" s="8"/>
      <c r="E262" s="8"/>
      <c r="F262" s="8"/>
      <c r="G262" s="8"/>
      <c r="H262" s="9"/>
    </row>
    <row r="263" spans="1:8" ht="30" customHeight="1" thickBot="1">
      <c r="A263" s="6"/>
      <c r="B263" s="6"/>
      <c r="C263" s="7"/>
      <c r="D263" s="8"/>
      <c r="E263" s="8"/>
      <c r="F263" s="8"/>
      <c r="G263" s="8"/>
      <c r="H263" s="9"/>
    </row>
    <row r="264" spans="1:8" ht="30" customHeight="1" thickBot="1">
      <c r="A264" s="6"/>
      <c r="B264" s="6"/>
      <c r="C264" s="7"/>
      <c r="D264" s="8"/>
      <c r="E264" s="8"/>
      <c r="F264" s="8"/>
      <c r="G264" s="8"/>
      <c r="H264" s="9"/>
    </row>
    <row r="265" spans="1:8" ht="30" customHeight="1" thickBot="1">
      <c r="A265" s="6"/>
      <c r="B265" s="6"/>
      <c r="C265" s="7"/>
      <c r="D265" s="8"/>
      <c r="E265" s="8"/>
      <c r="F265" s="8"/>
      <c r="G265" s="8"/>
      <c r="H265" s="9"/>
    </row>
    <row r="266" spans="1:8" ht="30" customHeight="1" thickBot="1">
      <c r="A266" s="6"/>
      <c r="B266" s="6"/>
      <c r="C266" s="7"/>
      <c r="D266" s="8"/>
      <c r="E266" s="8"/>
      <c r="F266" s="8"/>
      <c r="G266" s="8"/>
      <c r="H266" s="9"/>
    </row>
    <row r="267" spans="1:8" ht="30" customHeight="1" thickBot="1">
      <c r="A267" s="6"/>
      <c r="B267" s="6"/>
      <c r="C267" s="7"/>
      <c r="D267" s="8"/>
      <c r="E267" s="8"/>
      <c r="F267" s="8"/>
      <c r="G267" s="8"/>
      <c r="H267" s="9"/>
    </row>
    <row r="268" spans="1:8" ht="30" customHeight="1" thickBot="1">
      <c r="A268" s="6"/>
      <c r="B268" s="6"/>
      <c r="C268" s="7"/>
      <c r="D268" s="8"/>
      <c r="E268" s="8"/>
      <c r="F268" s="8"/>
      <c r="G268" s="8"/>
      <c r="H268" s="9"/>
    </row>
    <row r="269" spans="1:8" ht="30" customHeight="1" thickBot="1">
      <c r="A269" s="6"/>
      <c r="B269" s="6"/>
      <c r="C269" s="7"/>
      <c r="D269" s="8"/>
      <c r="E269" s="8"/>
      <c r="F269" s="8"/>
      <c r="G269" s="8"/>
      <c r="H269" s="9"/>
    </row>
    <row r="270" spans="1:8" ht="30" customHeight="1" thickBot="1">
      <c r="A270" s="6"/>
      <c r="B270" s="6"/>
      <c r="C270" s="7"/>
      <c r="D270" s="8"/>
      <c r="E270" s="8"/>
      <c r="F270" s="8"/>
      <c r="G270" s="8"/>
      <c r="H270" s="9"/>
    </row>
    <row r="271" spans="1:8" ht="30" customHeight="1" thickBot="1">
      <c r="A271" s="6"/>
      <c r="B271" s="6"/>
      <c r="C271" s="7"/>
      <c r="D271" s="8"/>
      <c r="E271" s="8"/>
      <c r="F271" s="8"/>
      <c r="G271" s="8"/>
      <c r="H271" s="9"/>
    </row>
    <row r="272" spans="1:8" ht="30" customHeight="1" thickBot="1">
      <c r="A272" s="6"/>
      <c r="B272" s="6"/>
      <c r="C272" s="7"/>
      <c r="D272" s="8"/>
      <c r="E272" s="8"/>
      <c r="F272" s="8"/>
      <c r="G272" s="8"/>
      <c r="H272" s="9"/>
    </row>
    <row r="273" spans="1:8" ht="30" customHeight="1" thickBot="1">
      <c r="A273" s="6"/>
      <c r="B273" s="6"/>
      <c r="C273" s="7"/>
      <c r="D273" s="8"/>
      <c r="E273" s="8"/>
      <c r="F273" s="8"/>
      <c r="G273" s="8"/>
      <c r="H273" s="9"/>
    </row>
    <row r="274" spans="1:8" ht="30" customHeight="1" thickBot="1">
      <c r="A274" s="6"/>
      <c r="B274" s="6"/>
      <c r="C274" s="7"/>
      <c r="D274" s="8"/>
      <c r="E274" s="8"/>
      <c r="F274" s="8"/>
      <c r="G274" s="8"/>
      <c r="H274" s="9"/>
    </row>
    <row r="275" spans="1:8" ht="30" customHeight="1" thickBot="1">
      <c r="A275" s="6"/>
      <c r="B275" s="6"/>
      <c r="C275" s="7"/>
      <c r="D275" s="8"/>
      <c r="E275" s="8"/>
      <c r="F275" s="8"/>
      <c r="G275" s="8"/>
      <c r="H275" s="9"/>
    </row>
    <row r="276" spans="1:8" ht="30" customHeight="1" thickBot="1">
      <c r="A276" s="6"/>
      <c r="B276" s="6"/>
      <c r="C276" s="7"/>
      <c r="D276" s="8"/>
      <c r="E276" s="8"/>
      <c r="F276" s="8"/>
      <c r="G276" s="8"/>
      <c r="H276" s="9"/>
    </row>
    <row r="277" spans="1:8" ht="30" customHeight="1" thickBot="1">
      <c r="A277" s="6"/>
      <c r="B277" s="6"/>
      <c r="C277" s="7"/>
      <c r="D277" s="8"/>
      <c r="E277" s="8"/>
      <c r="F277" s="8"/>
      <c r="G277" s="8"/>
      <c r="H277" s="9"/>
    </row>
    <row r="278" spans="1:8" ht="30" customHeight="1" thickBot="1">
      <c r="A278" s="6"/>
      <c r="B278" s="6"/>
      <c r="C278" s="7"/>
      <c r="D278" s="8"/>
      <c r="E278" s="8"/>
      <c r="F278" s="8"/>
      <c r="G278" s="8"/>
      <c r="H278" s="9"/>
    </row>
    <row r="279" spans="1:8" ht="30" customHeight="1" thickBot="1">
      <c r="A279" s="6"/>
      <c r="B279" s="6"/>
      <c r="C279" s="7"/>
      <c r="D279" s="8"/>
      <c r="E279" s="8"/>
      <c r="F279" s="8"/>
      <c r="G279" s="8"/>
      <c r="H279" s="9"/>
    </row>
    <row r="280" spans="1:8" ht="30" customHeight="1" thickBot="1">
      <c r="A280" s="6"/>
      <c r="B280" s="6"/>
      <c r="C280" s="7"/>
      <c r="D280" s="8"/>
      <c r="E280" s="8"/>
      <c r="F280" s="8"/>
      <c r="G280" s="8"/>
      <c r="H280" s="9"/>
    </row>
    <row r="281" spans="1:8" ht="30" customHeight="1" thickBot="1">
      <c r="A281" s="6"/>
      <c r="B281" s="6"/>
      <c r="C281" s="7"/>
      <c r="D281" s="8"/>
      <c r="E281" s="8"/>
      <c r="F281" s="8"/>
      <c r="G281" s="8"/>
      <c r="H281" s="9"/>
    </row>
    <row r="282" spans="1:8" ht="30" customHeight="1" thickBot="1">
      <c r="A282" s="6"/>
      <c r="B282" s="6"/>
      <c r="C282" s="7"/>
      <c r="D282" s="8"/>
      <c r="E282" s="8"/>
      <c r="F282" s="8"/>
      <c r="G282" s="8"/>
      <c r="H282" s="9"/>
    </row>
    <row r="283" spans="1:8" ht="30" customHeight="1" thickBot="1">
      <c r="A283" s="6"/>
      <c r="B283" s="6"/>
      <c r="C283" s="7"/>
      <c r="D283" s="8"/>
      <c r="E283" s="8"/>
      <c r="F283" s="8"/>
      <c r="G283" s="8"/>
      <c r="H283" s="9"/>
    </row>
    <row r="284" spans="1:8" ht="30" customHeight="1" thickBot="1">
      <c r="A284" s="6"/>
      <c r="B284" s="6"/>
      <c r="C284" s="7"/>
      <c r="D284" s="8"/>
      <c r="E284" s="8"/>
      <c r="F284" s="8"/>
      <c r="G284" s="8"/>
      <c r="H284" s="9"/>
    </row>
    <row r="285" spans="1:8" ht="30" customHeight="1" thickBot="1">
      <c r="A285" s="6"/>
      <c r="B285" s="6"/>
      <c r="C285" s="7"/>
      <c r="D285" s="8"/>
      <c r="E285" s="8"/>
      <c r="F285" s="8"/>
      <c r="G285" s="8"/>
      <c r="H285" s="9"/>
    </row>
    <row r="286" spans="1:8" ht="30" customHeight="1" thickBot="1">
      <c r="A286" s="6"/>
      <c r="B286" s="6"/>
      <c r="C286" s="7"/>
      <c r="D286" s="8"/>
      <c r="E286" s="8"/>
      <c r="F286" s="8"/>
      <c r="G286" s="8"/>
      <c r="H286" s="9"/>
    </row>
    <row r="287" spans="1:8" ht="30" customHeight="1" thickBot="1">
      <c r="A287" s="6"/>
      <c r="B287" s="6"/>
      <c r="C287" s="7"/>
      <c r="D287" s="8"/>
      <c r="E287" s="8"/>
      <c r="F287" s="8"/>
      <c r="G287" s="8"/>
      <c r="H287" s="9"/>
    </row>
    <row r="288" spans="1:8" ht="30" customHeight="1" thickBot="1">
      <c r="A288" s="6"/>
      <c r="B288" s="6"/>
      <c r="C288" s="7"/>
      <c r="D288" s="8"/>
      <c r="E288" s="8"/>
      <c r="F288" s="8"/>
      <c r="G288" s="8"/>
      <c r="H288" s="9"/>
    </row>
    <row r="289" spans="1:8" ht="30" customHeight="1" thickBot="1">
      <c r="A289" s="6"/>
      <c r="B289" s="6"/>
      <c r="C289" s="7"/>
      <c r="D289" s="8"/>
      <c r="E289" s="8"/>
      <c r="F289" s="8"/>
      <c r="G289" s="8"/>
      <c r="H289" s="9"/>
    </row>
    <row r="290" spans="1:8" ht="30" customHeight="1" thickBot="1">
      <c r="A290" s="6"/>
      <c r="B290" s="6"/>
      <c r="C290" s="7"/>
      <c r="D290" s="8"/>
      <c r="E290" s="8"/>
      <c r="F290" s="8"/>
      <c r="G290" s="8"/>
      <c r="H290" s="9"/>
    </row>
    <row r="291" spans="1:8" ht="30" customHeight="1" thickBot="1">
      <c r="A291" s="6"/>
      <c r="B291" s="6"/>
      <c r="C291" s="7"/>
      <c r="D291" s="8"/>
      <c r="E291" s="8"/>
      <c r="F291" s="8"/>
      <c r="G291" s="8"/>
      <c r="H291" s="9"/>
    </row>
    <row r="292" spans="1:8" ht="30" customHeight="1">
      <c r="A292" s="101"/>
      <c r="B292" s="101"/>
      <c r="C292" s="102"/>
      <c r="D292" s="103"/>
      <c r="E292" s="103"/>
      <c r="F292" s="103"/>
      <c r="G292" s="103"/>
      <c r="H292" s="104"/>
    </row>
    <row r="10902" spans="2:2" ht="30" customHeight="1">
      <c r="B10902" t="s">
        <v>79</v>
      </c>
    </row>
  </sheetData>
  <sheetProtection formatColumns="0" formatRows="0" selectLockedCells="1" sort="0" autoFilter="0"/>
  <mergeCells count="1">
    <mergeCell ref="D1:E1"/>
  </mergeCells>
  <phoneticPr fontId="5" type="noConversion"/>
  <pageMargins left="0.7" right="0.7" top="0.75" bottom="0.75" header="0.3" footer="0.3"/>
  <pageSetup paperSize="9" scale="63" fitToHeight="0"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8200" r:id="rId4" name="Button 8">
              <controlPr defaultSize="0" print="0" autoFill="0" autoPict="0" macro="[0]!Sprint1_selectie">
                <anchor moveWithCells="1" sizeWithCells="1">
                  <from>
                    <xdr:col>1</xdr:col>
                    <xdr:colOff>1479550</xdr:colOff>
                    <xdr:row>0</xdr:row>
                    <xdr:rowOff>95250</xdr:rowOff>
                  </from>
                  <to>
                    <xdr:col>1</xdr:col>
                    <xdr:colOff>2851150</xdr:colOff>
                    <xdr:row>0</xdr:row>
                    <xdr:rowOff>666750</xdr:rowOff>
                  </to>
                </anchor>
              </controlPr>
            </control>
          </mc:Choice>
        </mc:AlternateContent>
        <mc:AlternateContent xmlns:mc="http://schemas.openxmlformats.org/markup-compatibility/2006">
          <mc:Choice Requires="x14">
            <control shapeId="8201" r:id="rId5" name="Button 9">
              <controlPr defaultSize="0" print="0" autoFill="0" autoPict="0" macro="[0]!Project_totaal">
                <anchor moveWithCells="1" sizeWithCells="1">
                  <from>
                    <xdr:col>0</xdr:col>
                    <xdr:colOff>69850</xdr:colOff>
                    <xdr:row>0</xdr:row>
                    <xdr:rowOff>76200</xdr:rowOff>
                  </from>
                  <to>
                    <xdr:col>1</xdr:col>
                    <xdr:colOff>114300</xdr:colOff>
                    <xdr:row>0</xdr:row>
                    <xdr:rowOff>679450</xdr:rowOff>
                  </to>
                </anchor>
              </controlPr>
            </control>
          </mc:Choice>
        </mc:AlternateContent>
        <mc:AlternateContent xmlns:mc="http://schemas.openxmlformats.org/markup-compatibility/2006">
          <mc:Choice Requires="x14">
            <control shapeId="8203" r:id="rId6" name="Button 11">
              <controlPr defaultSize="0" print="0" autoFill="0" autoPict="0" macro="[0]!Sprint2_selectie">
                <anchor moveWithCells="1" sizeWithCells="1">
                  <from>
                    <xdr:col>1</xdr:col>
                    <xdr:colOff>2933700</xdr:colOff>
                    <xdr:row>0</xdr:row>
                    <xdr:rowOff>95250</xdr:rowOff>
                  </from>
                  <to>
                    <xdr:col>1</xdr:col>
                    <xdr:colOff>4298950</xdr:colOff>
                    <xdr:row>0</xdr:row>
                    <xdr:rowOff>666750</xdr:rowOff>
                  </to>
                </anchor>
              </controlPr>
            </control>
          </mc:Choice>
        </mc:AlternateContent>
        <mc:AlternateContent xmlns:mc="http://schemas.openxmlformats.org/markup-compatibility/2006">
          <mc:Choice Requires="x14">
            <control shapeId="8207" r:id="rId7" name="Button 15">
              <controlPr defaultSize="0" print="0" autoFill="0" autoPict="0" macro="[0]!Scrumtaak_selectie">
                <anchor moveWithCells="1" sizeWithCells="1">
                  <from>
                    <xdr:col>1</xdr:col>
                    <xdr:colOff>266700</xdr:colOff>
                    <xdr:row>0</xdr:row>
                    <xdr:rowOff>95250</xdr:rowOff>
                  </from>
                  <to>
                    <xdr:col>1</xdr:col>
                    <xdr:colOff>1390650</xdr:colOff>
                    <xdr:row>0</xdr:row>
                    <xdr:rowOff>666750</xdr:rowOff>
                  </to>
                </anchor>
              </controlPr>
            </control>
          </mc:Choice>
        </mc:AlternateContent>
        <mc:AlternateContent xmlns:mc="http://schemas.openxmlformats.org/markup-compatibility/2006">
          <mc:Choice Requires="x14">
            <control shapeId="8209" r:id="rId8" name="Button 17">
              <controlPr defaultSize="0" print="0" autoFill="0" autoPict="0" macro="[0]!Sprint3_selectie">
                <anchor moveWithCells="1" sizeWithCells="1">
                  <from>
                    <xdr:col>1</xdr:col>
                    <xdr:colOff>4375150</xdr:colOff>
                    <xdr:row>0</xdr:row>
                    <xdr:rowOff>95250</xdr:rowOff>
                  </from>
                  <to>
                    <xdr:col>1</xdr:col>
                    <xdr:colOff>5746750</xdr:colOff>
                    <xdr:row>0</xdr:row>
                    <xdr:rowOff>666750</xdr:rowOff>
                  </to>
                </anchor>
              </controlPr>
            </control>
          </mc:Choice>
        </mc:AlternateContent>
      </controls>
    </mc:Choice>
  </mc:AlternateContent>
  <tableParts count="1">
    <tablePart r:id="rId9"/>
  </tableParts>
  <extLst>
    <ext xmlns:x14="http://schemas.microsoft.com/office/spreadsheetml/2009/9/main" uri="{CCE6A557-97BC-4b89-ADB6-D9C93CAAB3DF}">
      <x14:dataValidations xmlns:xm="http://schemas.microsoft.com/office/excel/2006/main" count="3">
        <x14:dataValidation type="list" allowBlank="1" showInputMessage="1" showErrorMessage="1" xr:uid="{5FAE3792-84EC-4C78-A5C1-A8C8E958E0C2}">
          <x14:formula1>
            <xm:f>Dashboard!$F$4:$F$7</xm:f>
          </x14:formula1>
          <xm:sqref>C3:C292</xm:sqref>
        </x14:dataValidation>
        <x14:dataValidation type="list" allowBlank="1" showInputMessage="1" showErrorMessage="1" xr:uid="{9563F801-2731-4EFC-8755-D2A7B143661B}">
          <x14:formula1>
            <xm:f>Dashboard!$O$3:$O$13</xm:f>
          </x14:formula1>
          <xm:sqref>D3:D292</xm:sqref>
        </x14:dataValidation>
        <x14:dataValidation type="list" allowBlank="1" showInputMessage="1" showErrorMessage="1" xr:uid="{EA8A2438-B5B3-48A1-82E2-AF982C75C98B}">
          <x14:formula1>
            <xm:f>Dashboard!$C$4:$C$11</xm:f>
          </x14:formula1>
          <xm:sqref>E3:E292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E9E1-33CE-49CC-AE7A-1E4973D252DD}">
  <sheetPr codeName="Blad4">
    <tabColor rgb="FFFFC000"/>
  </sheetPr>
  <dimension ref="A1:J114"/>
  <sheetViews>
    <sheetView topLeftCell="C57" workbookViewId="0">
      <selection activeCell="I6" sqref="I6"/>
    </sheetView>
  </sheetViews>
  <sheetFormatPr defaultRowHeight="14.45"/>
  <cols>
    <col min="1" max="1" width="8.7109375" customWidth="1"/>
    <col min="2" max="2" width="8.7109375" style="66" customWidth="1"/>
    <col min="3" max="9" width="8.7109375" customWidth="1"/>
    <col min="10" max="10" width="10.5703125" bestFit="1" customWidth="1"/>
  </cols>
  <sheetData>
    <row r="1" spans="1:10" ht="33" customHeight="1"/>
    <row r="2" spans="1:10" s="64" customFormat="1" ht="32.25" customHeight="1">
      <c r="A2" s="77" t="s">
        <v>80</v>
      </c>
      <c r="B2" s="78" t="s">
        <v>81</v>
      </c>
      <c r="C2" s="79">
        <f>+Dashboard!C5</f>
        <v>0</v>
      </c>
      <c r="D2" s="80">
        <f>+Dashboard!C6</f>
        <v>0</v>
      </c>
      <c r="E2" s="81">
        <f>+Dashboard!C7</f>
        <v>0</v>
      </c>
      <c r="F2" s="82">
        <f>+Dashboard!C8</f>
        <v>0</v>
      </c>
      <c r="G2" s="83">
        <f>+Dashboard!C9</f>
        <v>0</v>
      </c>
      <c r="H2" s="84">
        <f>+Dashboard!C10</f>
        <v>0</v>
      </c>
      <c r="I2" s="85">
        <f>+Dashboard!C11</f>
        <v>0</v>
      </c>
      <c r="J2"/>
    </row>
    <row r="3" spans="1:10">
      <c r="A3">
        <v>0</v>
      </c>
      <c r="B3" s="67">
        <f>+Dashboard!$J$4</f>
        <v>67</v>
      </c>
      <c r="C3">
        <f>+Dashboard!$J$4</f>
        <v>67</v>
      </c>
      <c r="D3">
        <f>+Dashboard!$J$4</f>
        <v>67</v>
      </c>
      <c r="E3">
        <f>+Dashboard!$J$4</f>
        <v>67</v>
      </c>
      <c r="F3">
        <f>+Dashboard!$J$4</f>
        <v>67</v>
      </c>
      <c r="G3">
        <f>+Dashboard!$J$4</f>
        <v>67</v>
      </c>
      <c r="H3">
        <f>+Dashboard!$J$4</f>
        <v>67</v>
      </c>
      <c r="I3">
        <f>+Dashboard!$J$4</f>
        <v>67</v>
      </c>
      <c r="J3" s="98"/>
    </row>
    <row r="4" spans="1:10">
      <c r="A4">
        <v>1</v>
      </c>
      <c r="B4">
        <v>60.3</v>
      </c>
      <c r="C4" s="65"/>
      <c r="D4" s="65"/>
      <c r="E4" s="65"/>
      <c r="F4" s="65"/>
      <c r="G4" s="65"/>
      <c r="H4" s="65"/>
      <c r="I4" s="65"/>
      <c r="J4" s="98"/>
    </row>
    <row r="5" spans="1:10">
      <c r="A5">
        <v>2</v>
      </c>
      <c r="B5">
        <v>53.6</v>
      </c>
      <c r="C5" s="65"/>
      <c r="D5" s="65"/>
      <c r="E5" s="65"/>
      <c r="F5" s="65"/>
      <c r="G5" s="65"/>
      <c r="H5" s="65"/>
      <c r="I5" s="65"/>
      <c r="J5" s="98"/>
    </row>
    <row r="6" spans="1:10">
      <c r="A6">
        <v>3</v>
      </c>
      <c r="B6">
        <v>46.9</v>
      </c>
      <c r="C6" s="65"/>
      <c r="D6" s="65"/>
      <c r="E6" s="65"/>
      <c r="F6" s="65"/>
      <c r="G6" s="65"/>
      <c r="H6" s="65"/>
      <c r="I6" s="65"/>
      <c r="J6" s="98"/>
    </row>
    <row r="7" spans="1:10">
      <c r="A7">
        <v>4</v>
      </c>
      <c r="B7">
        <v>40.200000000000003</v>
      </c>
      <c r="C7" s="65"/>
      <c r="D7" s="65"/>
      <c r="E7" s="65"/>
      <c r="F7" s="65"/>
      <c r="G7" s="65"/>
      <c r="H7" s="65"/>
      <c r="I7" s="65"/>
      <c r="J7" s="98"/>
    </row>
    <row r="8" spans="1:10">
      <c r="A8">
        <v>5</v>
      </c>
      <c r="B8">
        <v>33.5</v>
      </c>
      <c r="C8" s="65"/>
      <c r="D8" s="65"/>
      <c r="E8" s="65"/>
      <c r="F8" s="65"/>
      <c r="G8" s="65"/>
      <c r="H8" s="65"/>
      <c r="I8" s="65"/>
      <c r="J8" s="98"/>
    </row>
    <row r="9" spans="1:10">
      <c r="A9">
        <v>6</v>
      </c>
      <c r="B9">
        <v>26.8</v>
      </c>
      <c r="C9" s="65"/>
      <c r="D9" s="65"/>
      <c r="E9" s="65"/>
      <c r="F9" s="65"/>
      <c r="G9" s="65"/>
      <c r="H9" s="65"/>
      <c r="I9" s="65"/>
      <c r="J9" s="98"/>
    </row>
    <row r="10" spans="1:10">
      <c r="A10">
        <v>7</v>
      </c>
      <c r="B10">
        <v>20.100000000000001</v>
      </c>
      <c r="C10" s="65"/>
      <c r="D10" s="65"/>
      <c r="E10" s="65"/>
      <c r="F10" s="65"/>
      <c r="G10" s="65"/>
      <c r="H10" s="65"/>
      <c r="I10" s="65"/>
      <c r="J10" s="98"/>
    </row>
    <row r="11" spans="1:10">
      <c r="A11">
        <v>8</v>
      </c>
      <c r="B11">
        <v>13.4</v>
      </c>
      <c r="C11" s="65"/>
      <c r="D11" s="65"/>
      <c r="E11" s="65"/>
      <c r="F11" s="65"/>
      <c r="G11" s="65"/>
      <c r="H11" s="65"/>
      <c r="I11" s="65"/>
      <c r="J11" s="98"/>
    </row>
    <row r="12" spans="1:10">
      <c r="A12">
        <v>9</v>
      </c>
      <c r="B12">
        <v>6.7</v>
      </c>
      <c r="C12" s="65"/>
      <c r="D12" s="65"/>
      <c r="E12" s="65"/>
      <c r="F12" s="65"/>
      <c r="G12" s="65"/>
      <c r="H12" s="65"/>
      <c r="I12" s="65"/>
      <c r="J12" s="98"/>
    </row>
    <row r="13" spans="1:10">
      <c r="A13">
        <v>10</v>
      </c>
      <c r="B13">
        <v>0</v>
      </c>
      <c r="C13" s="65"/>
      <c r="D13" s="65"/>
      <c r="E13" s="65"/>
      <c r="F13" s="65"/>
      <c r="G13" s="65"/>
      <c r="H13" s="65"/>
      <c r="I13" s="65"/>
      <c r="J13" s="98"/>
    </row>
    <row r="14" spans="1:10">
      <c r="B14"/>
      <c r="C14" s="65"/>
      <c r="D14" s="65"/>
      <c r="E14" s="65"/>
      <c r="F14" s="65"/>
      <c r="G14" s="65"/>
      <c r="H14" s="65"/>
      <c r="I14" s="65"/>
      <c r="J14" s="98"/>
    </row>
    <row r="15" spans="1:10">
      <c r="B15"/>
      <c r="C15" s="65"/>
      <c r="D15" s="65"/>
      <c r="E15" s="65"/>
      <c r="F15" s="65"/>
      <c r="G15" s="65"/>
      <c r="H15" s="65"/>
      <c r="I15" s="65"/>
      <c r="J15" s="98"/>
    </row>
    <row r="16" spans="1:10">
      <c r="B16"/>
      <c r="C16" s="65"/>
      <c r="D16" s="65"/>
      <c r="E16" s="65"/>
      <c r="F16" s="65"/>
      <c r="G16" s="65"/>
      <c r="H16" s="65"/>
      <c r="I16" s="65"/>
      <c r="J16" s="98"/>
    </row>
    <row r="17" spans="2:10">
      <c r="B17"/>
      <c r="C17" s="65"/>
      <c r="D17" s="65"/>
      <c r="E17" s="65"/>
      <c r="F17" s="65"/>
      <c r="G17" s="65"/>
      <c r="H17" s="65"/>
      <c r="I17" s="65"/>
      <c r="J17" s="98"/>
    </row>
    <row r="18" spans="2:10">
      <c r="B18"/>
      <c r="C18" s="65"/>
      <c r="D18" s="65"/>
      <c r="E18" s="65"/>
      <c r="F18" s="65"/>
      <c r="G18" s="65"/>
      <c r="H18" s="65"/>
      <c r="I18" s="65"/>
      <c r="J18" s="98"/>
    </row>
    <row r="49" spans="1:9" ht="7.5" customHeight="1"/>
    <row r="50" spans="1:9" ht="26.25" customHeight="1"/>
    <row r="51" spans="1:9" ht="30" customHeight="1">
      <c r="A51" s="86" t="s">
        <v>80</v>
      </c>
      <c r="B51" s="87" t="s">
        <v>81</v>
      </c>
      <c r="C51" s="88">
        <f>+$C$2</f>
        <v>0</v>
      </c>
      <c r="D51" s="89">
        <f>+$D$2</f>
        <v>0</v>
      </c>
      <c r="E51" s="90">
        <f>+$E$2</f>
        <v>0</v>
      </c>
      <c r="F51" s="91">
        <f>+$F$2</f>
        <v>0</v>
      </c>
      <c r="G51" s="92">
        <f>+$G$2</f>
        <v>0</v>
      </c>
      <c r="H51" s="93">
        <f>+$H$2</f>
        <v>0</v>
      </c>
      <c r="I51" s="94">
        <f>+$I$2</f>
        <v>0</v>
      </c>
    </row>
    <row r="52" spans="1:9">
      <c r="A52">
        <v>0</v>
      </c>
      <c r="B52" s="67">
        <f>+Dashboard!$J$5</f>
        <v>44</v>
      </c>
      <c r="C52">
        <f>+Dashboard!$J$5</f>
        <v>44</v>
      </c>
      <c r="D52">
        <f>+Dashboard!$J$5</f>
        <v>44</v>
      </c>
      <c r="E52">
        <f>+Dashboard!$J$5</f>
        <v>44</v>
      </c>
      <c r="F52">
        <f>+Dashboard!$J$5</f>
        <v>44</v>
      </c>
      <c r="G52">
        <f>+Dashboard!$J$5</f>
        <v>44</v>
      </c>
      <c r="H52">
        <f>+Dashboard!$J$5</f>
        <v>44</v>
      </c>
      <c r="I52">
        <f>+Dashboard!$J$5</f>
        <v>44</v>
      </c>
    </row>
    <row r="53" spans="1:9">
      <c r="A53">
        <v>1</v>
      </c>
      <c r="B53">
        <v>7.2</v>
      </c>
      <c r="C53" s="65"/>
      <c r="D53" s="65"/>
      <c r="E53" s="65"/>
      <c r="F53" s="65"/>
      <c r="G53" s="65"/>
      <c r="H53" s="65"/>
      <c r="I53" s="65"/>
    </row>
    <row r="54" spans="1:9">
      <c r="A54">
        <v>2</v>
      </c>
      <c r="B54">
        <v>6.4</v>
      </c>
      <c r="C54" s="65"/>
      <c r="D54" s="65"/>
      <c r="E54" s="65"/>
      <c r="F54" s="65"/>
      <c r="G54" s="65"/>
      <c r="H54" s="65"/>
      <c r="I54" s="65"/>
    </row>
    <row r="55" spans="1:9">
      <c r="A55">
        <v>3</v>
      </c>
      <c r="B55">
        <v>5.6</v>
      </c>
      <c r="C55" s="65"/>
      <c r="D55" s="65"/>
      <c r="E55" s="65"/>
      <c r="F55" s="65"/>
      <c r="G55" s="65"/>
      <c r="H55" s="65"/>
      <c r="I55" s="65"/>
    </row>
    <row r="56" spans="1:9">
      <c r="A56">
        <v>4</v>
      </c>
      <c r="B56">
        <v>4.8</v>
      </c>
      <c r="C56" s="65"/>
      <c r="D56" s="65"/>
      <c r="E56" s="65"/>
      <c r="F56" s="65"/>
      <c r="G56" s="65"/>
      <c r="H56" s="65"/>
      <c r="I56" s="65"/>
    </row>
    <row r="57" spans="1:9">
      <c r="A57">
        <v>5</v>
      </c>
      <c r="B57">
        <v>4</v>
      </c>
      <c r="C57" s="65"/>
      <c r="D57" s="65"/>
      <c r="E57" s="65"/>
      <c r="F57" s="65"/>
      <c r="G57" s="65"/>
      <c r="H57" s="65"/>
      <c r="I57" s="65"/>
    </row>
    <row r="58" spans="1:9">
      <c r="A58">
        <v>6</v>
      </c>
      <c r="B58">
        <v>3.2</v>
      </c>
      <c r="C58" s="65"/>
      <c r="D58" s="65"/>
      <c r="E58" s="65"/>
      <c r="F58" s="65"/>
      <c r="G58" s="65"/>
      <c r="H58" s="65"/>
      <c r="I58" s="65"/>
    </row>
    <row r="59" spans="1:9">
      <c r="A59">
        <v>7</v>
      </c>
      <c r="B59">
        <v>2.4</v>
      </c>
      <c r="C59" s="65"/>
      <c r="D59" s="65"/>
      <c r="E59" s="65"/>
      <c r="F59" s="65"/>
      <c r="G59" s="65"/>
      <c r="H59" s="65"/>
      <c r="I59" s="65"/>
    </row>
    <row r="60" spans="1:9">
      <c r="A60">
        <v>8</v>
      </c>
      <c r="B60">
        <v>1.6</v>
      </c>
      <c r="C60" s="65"/>
      <c r="D60" s="65"/>
      <c r="E60" s="65"/>
      <c r="F60" s="65"/>
      <c r="G60" s="65"/>
      <c r="H60" s="65"/>
      <c r="I60" s="65"/>
    </row>
    <row r="61" spans="1:9">
      <c r="A61">
        <v>9</v>
      </c>
      <c r="B61">
        <v>0.8</v>
      </c>
      <c r="C61" s="65"/>
      <c r="D61" s="65"/>
      <c r="E61" s="65"/>
      <c r="F61" s="65"/>
      <c r="G61" s="65"/>
      <c r="H61" s="65"/>
      <c r="I61" s="65"/>
    </row>
    <row r="62" spans="1:9">
      <c r="A62">
        <v>10</v>
      </c>
      <c r="B62">
        <v>0</v>
      </c>
      <c r="C62" s="65"/>
      <c r="D62" s="65"/>
      <c r="E62" s="65"/>
      <c r="F62" s="65"/>
      <c r="G62" s="65"/>
      <c r="H62" s="65"/>
      <c r="I62" s="65"/>
    </row>
    <row r="63" spans="1:9">
      <c r="B63"/>
      <c r="C63" s="65"/>
      <c r="D63" s="65"/>
      <c r="E63" s="65"/>
      <c r="F63" s="65"/>
      <c r="G63" s="65"/>
      <c r="H63" s="65"/>
      <c r="I63" s="65"/>
    </row>
    <row r="64" spans="1:9">
      <c r="B64"/>
      <c r="C64" s="65"/>
      <c r="D64" s="65"/>
      <c r="E64" s="65"/>
      <c r="F64" s="65"/>
      <c r="G64" s="65"/>
      <c r="H64" s="65"/>
      <c r="I64" s="65"/>
    </row>
    <row r="65" spans="2:9">
      <c r="B65"/>
      <c r="C65" s="65"/>
      <c r="D65" s="65"/>
      <c r="E65" s="65"/>
      <c r="F65" s="65"/>
      <c r="G65" s="65"/>
      <c r="H65" s="65"/>
      <c r="I65" s="65"/>
    </row>
    <row r="66" spans="2:9">
      <c r="B66"/>
      <c r="C66" s="65"/>
      <c r="D66" s="65"/>
      <c r="E66" s="65"/>
      <c r="F66" s="65"/>
      <c r="G66" s="65"/>
      <c r="H66" s="65"/>
      <c r="I66" s="65"/>
    </row>
    <row r="67" spans="2:9">
      <c r="B67"/>
      <c r="C67" s="65"/>
      <c r="D67" s="65"/>
      <c r="E67" s="65"/>
      <c r="F67" s="65"/>
      <c r="G67" s="65"/>
      <c r="H67" s="65"/>
      <c r="I67" s="65"/>
    </row>
    <row r="97" spans="1:9" ht="31.5" customHeight="1"/>
    <row r="98" spans="1:9" ht="15.6">
      <c r="A98" s="68" t="s">
        <v>80</v>
      </c>
      <c r="B98" s="69" t="s">
        <v>81</v>
      </c>
      <c r="C98" s="70">
        <f>+$C$2</f>
        <v>0</v>
      </c>
      <c r="D98" s="71">
        <f>+$D$2</f>
        <v>0</v>
      </c>
      <c r="E98" s="72">
        <f>+$E$2</f>
        <v>0</v>
      </c>
      <c r="F98" s="73">
        <f>+$F$2</f>
        <v>0</v>
      </c>
      <c r="G98" s="74">
        <f>+$G$2</f>
        <v>0</v>
      </c>
      <c r="H98" s="75">
        <f>+$H$2</f>
        <v>0</v>
      </c>
      <c r="I98" s="76">
        <f>+$I$2</f>
        <v>0</v>
      </c>
    </row>
    <row r="99" spans="1:9">
      <c r="A99">
        <v>0</v>
      </c>
      <c r="B99" s="67">
        <f>+Dashboard!$J$6</f>
        <v>26</v>
      </c>
      <c r="C99" s="67">
        <f>+Dashboard!$J$6</f>
        <v>26</v>
      </c>
      <c r="D99" s="67">
        <f>+Dashboard!$J$6</f>
        <v>26</v>
      </c>
      <c r="E99" s="67">
        <f>+Dashboard!$J$6</f>
        <v>26</v>
      </c>
      <c r="F99" s="67">
        <f>+Dashboard!$J$6</f>
        <v>26</v>
      </c>
      <c r="G99" s="67">
        <f>+Dashboard!$J$6</f>
        <v>26</v>
      </c>
      <c r="H99" s="67">
        <f>+Dashboard!$J$6</f>
        <v>26</v>
      </c>
      <c r="I99" s="67">
        <f>+Dashboard!$J$6</f>
        <v>26</v>
      </c>
    </row>
    <row r="100" spans="1:9">
      <c r="A100">
        <v>1</v>
      </c>
      <c r="B100">
        <v>4.5</v>
      </c>
      <c r="C100" s="65"/>
      <c r="D100" s="65"/>
      <c r="E100" s="65"/>
      <c r="F100" s="65"/>
      <c r="G100" s="65"/>
      <c r="H100" s="65"/>
      <c r="I100" s="65"/>
    </row>
    <row r="101" spans="1:9">
      <c r="A101">
        <v>2</v>
      </c>
      <c r="B101">
        <v>4</v>
      </c>
      <c r="C101" s="65"/>
      <c r="D101" s="65"/>
      <c r="E101" s="65"/>
      <c r="F101" s="65"/>
      <c r="G101" s="65"/>
      <c r="H101" s="65"/>
      <c r="I101" s="65"/>
    </row>
    <row r="102" spans="1:9">
      <c r="A102">
        <v>3</v>
      </c>
      <c r="B102">
        <v>3.5</v>
      </c>
      <c r="C102" s="65"/>
      <c r="D102" s="65"/>
      <c r="E102" s="65"/>
      <c r="F102" s="65"/>
      <c r="G102" s="65"/>
      <c r="H102" s="65"/>
      <c r="I102" s="65"/>
    </row>
    <row r="103" spans="1:9">
      <c r="A103">
        <v>4</v>
      </c>
      <c r="B103">
        <v>3</v>
      </c>
      <c r="C103" s="65"/>
      <c r="D103" s="65"/>
      <c r="E103" s="65"/>
      <c r="F103" s="65"/>
      <c r="G103" s="65"/>
      <c r="H103" s="65"/>
      <c r="I103" s="65"/>
    </row>
    <row r="104" spans="1:9">
      <c r="A104">
        <v>5</v>
      </c>
      <c r="B104">
        <v>2.5</v>
      </c>
      <c r="C104" s="65"/>
      <c r="D104" s="65"/>
      <c r="E104" s="65"/>
      <c r="F104" s="65"/>
      <c r="G104" s="65"/>
      <c r="H104" s="65"/>
      <c r="I104" s="65"/>
    </row>
    <row r="105" spans="1:9">
      <c r="A105">
        <v>6</v>
      </c>
      <c r="B105">
        <v>2</v>
      </c>
      <c r="C105" s="65"/>
      <c r="D105" s="65"/>
      <c r="E105" s="65"/>
      <c r="F105" s="65"/>
      <c r="G105" s="65"/>
      <c r="H105" s="65"/>
      <c r="I105" s="65"/>
    </row>
    <row r="106" spans="1:9">
      <c r="A106">
        <v>7</v>
      </c>
      <c r="B106">
        <v>1.5</v>
      </c>
      <c r="C106" s="65"/>
      <c r="D106" s="65"/>
      <c r="E106" s="65"/>
      <c r="F106" s="65"/>
      <c r="G106" s="65"/>
      <c r="H106" s="65"/>
      <c r="I106" s="65"/>
    </row>
    <row r="107" spans="1:9">
      <c r="A107">
        <v>8</v>
      </c>
      <c r="B107">
        <v>1</v>
      </c>
      <c r="C107" s="65"/>
      <c r="D107" s="65"/>
      <c r="E107" s="65"/>
      <c r="F107" s="65"/>
      <c r="G107" s="65"/>
      <c r="H107" s="65"/>
      <c r="I107" s="65"/>
    </row>
    <row r="108" spans="1:9">
      <c r="A108">
        <v>9</v>
      </c>
      <c r="B108">
        <v>0.5</v>
      </c>
      <c r="C108" s="65"/>
      <c r="D108" s="65"/>
      <c r="E108" s="65"/>
      <c r="F108" s="65"/>
      <c r="G108" s="65"/>
      <c r="H108" s="65"/>
      <c r="I108" s="65"/>
    </row>
    <row r="109" spans="1:9">
      <c r="A109">
        <v>10</v>
      </c>
      <c r="B109">
        <v>0</v>
      </c>
      <c r="C109" s="65"/>
      <c r="D109" s="65"/>
      <c r="E109" s="65"/>
      <c r="F109" s="65"/>
      <c r="G109" s="65"/>
      <c r="H109" s="65"/>
      <c r="I109" s="65"/>
    </row>
    <row r="110" spans="1:9">
      <c r="B110"/>
      <c r="C110" s="65"/>
      <c r="D110" s="65"/>
      <c r="E110" s="65"/>
      <c r="F110" s="65"/>
      <c r="G110" s="65"/>
      <c r="H110" s="65"/>
      <c r="I110" s="65"/>
    </row>
    <row r="111" spans="1:9">
      <c r="B111"/>
      <c r="C111" s="65"/>
      <c r="D111" s="65"/>
      <c r="E111" s="65"/>
      <c r="F111" s="65"/>
      <c r="G111" s="65"/>
      <c r="H111" s="65"/>
      <c r="I111" s="65"/>
    </row>
    <row r="112" spans="1:9">
      <c r="B112"/>
      <c r="C112" s="65"/>
      <c r="D112" s="65"/>
      <c r="E112" s="65"/>
      <c r="F112" s="65"/>
      <c r="G112" s="65"/>
      <c r="H112" s="65"/>
      <c r="I112" s="65"/>
    </row>
    <row r="113" spans="2:9">
      <c r="B113"/>
      <c r="C113" s="65"/>
      <c r="D113" s="65"/>
      <c r="E113" s="65"/>
      <c r="F113" s="65"/>
      <c r="G113" s="65"/>
      <c r="H113" s="65"/>
      <c r="I113" s="65"/>
    </row>
    <row r="114" spans="2:9">
      <c r="B114"/>
      <c r="C114" s="65"/>
      <c r="D114" s="65"/>
      <c r="E114" s="65"/>
      <c r="F114" s="65"/>
      <c r="G114" s="65"/>
      <c r="H114" s="65"/>
      <c r="I114" s="65"/>
    </row>
  </sheetData>
  <pageMargins left="0.23622047244094491" right="0.23622047244094491" top="0.74803149606299213" bottom="0.74803149606299213" header="0.31496062992125984" footer="0.31496062992125984"/>
  <pageSetup paperSize="9" orientation="landscape" horizontalDpi="1200" verticalDpi="1200" r:id="rId1"/>
  <rowBreaks count="6" manualBreakCount="6">
    <brk id="18" max="16383" man="1"/>
    <brk id="48" max="16383" man="1"/>
    <brk id="67" max="16383" man="1"/>
    <brk id="96" max="16383" man="1"/>
    <brk id="114" max="16383" man="1"/>
    <brk id="14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1271" r:id="rId4" name="Button 7">
              <controlPr defaultSize="0" print="0" autoFill="0" autoPict="0" macro="[0]!FillSprint1Days">
                <anchor moveWithCells="1" sizeWithCells="1">
                  <from>
                    <xdr:col>0</xdr:col>
                    <xdr:colOff>57150</xdr:colOff>
                    <xdr:row>0</xdr:row>
                    <xdr:rowOff>69850</xdr:rowOff>
                  </from>
                  <to>
                    <xdr:col>2</xdr:col>
                    <xdr:colOff>419100</xdr:colOff>
                    <xdr:row>0</xdr:row>
                    <xdr:rowOff>336550</xdr:rowOff>
                  </to>
                </anchor>
              </controlPr>
            </control>
          </mc:Choice>
        </mc:AlternateContent>
        <mc:AlternateContent xmlns:mc="http://schemas.openxmlformats.org/markup-compatibility/2006">
          <mc:Choice Requires="x14">
            <control shapeId="11272" r:id="rId5" name="Button 8">
              <controlPr defaultSize="0" print="0" autoFill="0" autoPict="0" macro="[0]!FillSprint2Days">
                <anchor moveWithCells="1" sizeWithCells="1">
                  <from>
                    <xdr:col>0</xdr:col>
                    <xdr:colOff>38100</xdr:colOff>
                    <xdr:row>48</xdr:row>
                    <xdr:rowOff>57150</xdr:rowOff>
                  </from>
                  <to>
                    <xdr:col>2</xdr:col>
                    <xdr:colOff>495300</xdr:colOff>
                    <xdr:row>49</xdr:row>
                    <xdr:rowOff>247650</xdr:rowOff>
                  </to>
                </anchor>
              </controlPr>
            </control>
          </mc:Choice>
        </mc:AlternateContent>
        <mc:AlternateContent xmlns:mc="http://schemas.openxmlformats.org/markup-compatibility/2006">
          <mc:Choice Requires="x14">
            <control shapeId="11273" r:id="rId6" name="Button 9">
              <controlPr defaultSize="0" print="0" autoFill="0" autoPict="0" macro="[0]!FillSprint3Days">
                <anchor moveWithCells="1" sizeWithCells="1">
                  <from>
                    <xdr:col>0</xdr:col>
                    <xdr:colOff>57150</xdr:colOff>
                    <xdr:row>96</xdr:row>
                    <xdr:rowOff>69850</xdr:rowOff>
                  </from>
                  <to>
                    <xdr:col>2</xdr:col>
                    <xdr:colOff>533400</xdr:colOff>
                    <xdr:row>96</xdr:row>
                    <xdr:rowOff>342900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58254009529634198059592308B2A0A" ma:contentTypeVersion="14" ma:contentTypeDescription="Een nieuw document maken." ma:contentTypeScope="" ma:versionID="5e977c7085c62a53fcea7d1b5b9587a2">
  <xsd:schema xmlns:xsd="http://www.w3.org/2001/XMLSchema" xmlns:xs="http://www.w3.org/2001/XMLSchema" xmlns:p="http://schemas.microsoft.com/office/2006/metadata/properties" xmlns:ns2="a1850651-745a-4f90-a5a0-303b9991291d" xmlns:ns3="7e650c5b-f114-49ac-8f7e-29c62fb13053" targetNamespace="http://schemas.microsoft.com/office/2006/metadata/properties" ma:root="true" ma:fieldsID="5b4bc0876ec234666295dc0a8ce34fcd" ns2:_="" ns3:_="">
    <xsd:import namespace="a1850651-745a-4f90-a5a0-303b9991291d"/>
    <xsd:import namespace="7e650c5b-f114-49ac-8f7e-29c62fb1305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850651-745a-4f90-a5a0-303b999129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bf51467-aee2-4e68-9157-99838e0eaad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650c5b-f114-49ac-8f7e-29c62fb130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24eea7-dbdb-41b9-b944-f69164b8abac}" ma:internalName="TaxCatchAll" ma:showField="CatchAllData" ma:web="7e650c5b-f114-49ac-8f7e-29c62fb1305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e650c5b-f114-49ac-8f7e-29c62fb13053">
      <UserInfo>
        <DisplayName>Harsselaar, D.N.L. (Dilon) van</DisplayName>
        <AccountId>279</AccountId>
        <AccountType/>
      </UserInfo>
      <UserInfo>
        <DisplayName>Waard, P.W.M. (Patrick) van der</DisplayName>
        <AccountId>163</AccountId>
        <AccountType/>
      </UserInfo>
      <UserInfo>
        <DisplayName>Wawoe, N.K. (Nathaniël)</DisplayName>
        <AccountId>167</AccountId>
        <AccountType/>
      </UserInfo>
      <UserInfo>
        <DisplayName>Girbaran, A. (Alex)</DisplayName>
        <AccountId>164</AccountId>
        <AccountType/>
      </UserInfo>
      <UserInfo>
        <DisplayName>Schalkwijk, T. (Tijn)</DisplayName>
        <AccountId>165</AccountId>
        <AccountType/>
      </UserInfo>
      <UserInfo>
        <DisplayName>Heijgen, D. (Dani) van</DisplayName>
        <AccountId>216</AccountId>
        <AccountType/>
      </UserInfo>
      <UserInfo>
        <DisplayName>Feenstra, S.H.H. (Hidde)</DisplayName>
        <AccountId>190</AccountId>
        <AccountType/>
      </UserInfo>
      <UserInfo>
        <DisplayName>Bruijn, S. (Sammy) de</DisplayName>
        <AccountId>168</AccountId>
        <AccountType/>
      </UserInfo>
      <UserInfo>
        <DisplayName>Bijl, S.J. (Sander)</DisplayName>
        <AccountId>238</AccountId>
        <AccountType/>
      </UserInfo>
      <UserInfo>
        <DisplayName>Baranbo, M.A. (Ayham)</DisplayName>
        <AccountId>287</AccountId>
        <AccountType/>
      </UserInfo>
      <UserInfo>
        <DisplayName>Holtewes, T. (Tijs)</DisplayName>
        <AccountId>483</AccountId>
        <AccountType/>
      </UserInfo>
      <UserInfo>
        <DisplayName>Bayens, M. (Max)</DisplayName>
        <AccountId>494</AccountId>
        <AccountType/>
      </UserInfo>
      <UserInfo>
        <DisplayName>Looij, J. (Jurgen)</DisplayName>
        <AccountId>517</AccountId>
        <AccountType/>
      </UserInfo>
      <UserInfo>
        <DisplayName>Mallouki, Z. (Zakaria) El</DisplayName>
        <AccountId>518</AccountId>
        <AccountType/>
      </UserInfo>
      <UserInfo>
        <DisplayName>Bakker, R. (Rick)</DisplayName>
        <AccountId>513</AccountId>
        <AccountType/>
      </UserInfo>
      <UserInfo>
        <DisplayName>Martens, J.M. (Jonah)</DisplayName>
        <AccountId>773</AccountId>
        <AccountType/>
      </UserInfo>
      <UserInfo>
        <DisplayName>Herder, T. (Thijs)</DisplayName>
        <AccountId>771</AccountId>
        <AccountType/>
      </UserInfo>
      <UserInfo>
        <DisplayName>Leijen, M. (Maurice)</DisplayName>
        <AccountId>829</AccountId>
        <AccountType/>
      </UserInfo>
      <UserInfo>
        <DisplayName>Hosseini, K. (Kamyab)</DisplayName>
        <AccountId>528</AccountId>
        <AccountType/>
      </UserInfo>
      <UserInfo>
        <DisplayName>Willemsen, M.T. (Max)</DisplayName>
        <AccountId>759</AccountId>
        <AccountType/>
      </UserInfo>
      <UserInfo>
        <DisplayName>Stelt, T.D. (Twan) van der</DisplayName>
        <AccountId>756</AccountId>
        <AccountType/>
      </UserInfo>
      <UserInfo>
        <DisplayName>Bakir, R.E. (Efe)</DisplayName>
        <AccountId>1088</AccountId>
        <AccountType/>
      </UserInfo>
      <UserInfo>
        <DisplayName>Odijk, R.K.A. (Roan)</DisplayName>
        <AccountId>1079</AccountId>
        <AccountType/>
      </UserInfo>
      <UserInfo>
        <DisplayName>Voorden, R.A. (Ronan) van</DisplayName>
        <AccountId>1131</AccountId>
        <AccountType/>
      </UserInfo>
      <UserInfo>
        <DisplayName>Huizer, M.P. (Michiel)</DisplayName>
        <AccountId>1074</AccountId>
        <AccountType/>
      </UserInfo>
    </SharedWithUsers>
    <TaxCatchAll xmlns="7e650c5b-f114-49ac-8f7e-29c62fb13053" xsi:nil="true"/>
    <lcf76f155ced4ddcb4097134ff3c332f xmlns="a1850651-745a-4f90-a5a0-303b999129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BF5D65A-4D09-4C4B-BB2E-A9FAC376D779}"/>
</file>

<file path=customXml/itemProps2.xml><?xml version="1.0" encoding="utf-8"?>
<ds:datastoreItem xmlns:ds="http://schemas.openxmlformats.org/officeDocument/2006/customXml" ds:itemID="{3F7BA861-C1E1-4E63-AFDB-DA852A931AA0}"/>
</file>

<file path=customXml/itemProps3.xml><?xml version="1.0" encoding="utf-8"?>
<ds:datastoreItem xmlns:ds="http://schemas.openxmlformats.org/officeDocument/2006/customXml" ds:itemID="{B3EB5ABC-BE11-48D6-AE49-1C255E29F4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dc:creator>
  <cp:keywords/>
  <dc:description/>
  <cp:lastModifiedBy>Kors, C.H.T. (Mark)</cp:lastModifiedBy>
  <cp:revision/>
  <dcterms:created xsi:type="dcterms:W3CDTF">2017-10-19T17:26:30Z</dcterms:created>
  <dcterms:modified xsi:type="dcterms:W3CDTF">2025-09-10T11:27:07Z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0x010100F39CEE56BC36B8408B932E84497629EF</vt:lpwstr>
  </property>
  <property fmtid="{D5CDD505-2E9C-101B-9397-08002B2CF9AE}" pid="3" name="MediaServiceImageTags">
    <vt:lpwstr/>
  </property>
  <property fmtid="{D5CDD505-2E9C-101B-9397-08002B2CF9AE}" pid="4" name="Order">
    <vt:r8>4548000</vt:r8>
  </property>
  <property fmtid="{D5CDD505-2E9C-101B-9397-08002B2CF9AE}" pid="5" name="xd_Signature">
    <vt:bool>false</vt:bool>
  </property>
  <property fmtid="{D5CDD505-2E9C-101B-9397-08002B2CF9AE}" pid="6" name="xd_ProgID">
    <vt:lpwstr/>
  </property>
  <property fmtid="{D5CDD505-2E9C-101B-9397-08002B2CF9AE}" pid="7" name="SharedWithUsers">
    <vt:lpwstr>279;#Harsselaar, D.N.L. (Dilon) van;#163;#Waard, P.W.M. (Patrick) van der;#167;#Wawoe, N.K. (Nathaniël);#164;#Girbaran, A. (Alex);#165;#Schalkwijk, T. (Tijn);#216;#Heijgen, D. (Dani) van;#190;#Feenstra, S.H.H. (Hidde);#168;#Bruijn, S. (Sammy) de;#238;#Bijl, S.J. (Sander);#287;#Baranbo, M.A. (Ayham);#483;#Holtewes, T. (Tijs);#494;#Bayens, M. (Max);#517;#Looij, J. (Jurgen);#518;#Mallouki, Z. (Zakaria) El;#513;#Bakker, R. (Rick);#773;#Martens, J.M. (Jonah);#771;#Herder, T. (Thijs);#829;#Leijen, M. (Maurice);#528;#Hosseini, K. (Kamyab);#759;#Willemsen, M.T. (Max);#756;#Stelt, T.D. (Twan) van der;#1088;#Bakir, R.E. (Efe);#1079;#Odijk, R.K.A. (Roan);#1131;#Voorden, R.A. (Ronan) van;#1074;#Huizer, M.P. (Michiel)</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