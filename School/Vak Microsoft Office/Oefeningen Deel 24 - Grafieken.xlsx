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tze\Documents\School\Vak Microsoft Office\"/>
    </mc:Choice>
  </mc:AlternateContent>
  <xr:revisionPtr revIDLastSave="0" documentId="13_ncr:1_{71D17F82-3848-4680-8641-79D1E60C1874}" xr6:coauthVersionLast="47" xr6:coauthVersionMax="47" xr10:uidLastSave="{00000000-0000-0000-0000-000000000000}"/>
  <bookViews>
    <workbookView xWindow="-108" yWindow="-108" windowWidth="23256" windowHeight="12456" tabRatio="794" activeTab="2" xr2:uid="{00000000-000D-0000-FFFF-FFFF00000000}"/>
  </bookViews>
  <sheets>
    <sheet name="Opdracht" sheetId="18" r:id="rId1"/>
    <sheet name="Meterstanden" sheetId="9" r:id="rId2"/>
    <sheet name="Jaarverbuik" sheetId="10" r:id="rId3"/>
    <sheet name="Vergelijking per maand" sheetId="14" r:id="rId4"/>
    <sheet name="Grafiek Elektra" sheetId="15" r:id="rId5"/>
    <sheet name="Grafiek Gas" sheetId="16" r:id="rId6"/>
    <sheet name="Grafiek Water" sheetId="1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7" i="9" l="1"/>
  <c r="N147" i="9"/>
  <c r="M147" i="9"/>
  <c r="L147" i="9"/>
  <c r="J147" i="9"/>
  <c r="I147" i="9"/>
  <c r="K147" i="9" s="1"/>
  <c r="H160" i="9"/>
  <c r="O158" i="9"/>
  <c r="N158" i="9"/>
  <c r="M158" i="9"/>
  <c r="L158" i="9"/>
  <c r="J158" i="9"/>
  <c r="I158" i="9"/>
  <c r="K158" i="9" s="1"/>
  <c r="H158" i="9"/>
  <c r="O157" i="9"/>
  <c r="N157" i="9"/>
  <c r="M157" i="9"/>
  <c r="L157" i="9"/>
  <c r="J157" i="9"/>
  <c r="I157" i="9"/>
  <c r="K157" i="9" s="1"/>
  <c r="H157" i="9"/>
  <c r="O156" i="9"/>
  <c r="N156" i="9"/>
  <c r="M156" i="9"/>
  <c r="L156" i="9"/>
  <c r="J156" i="9"/>
  <c r="I156" i="9"/>
  <c r="K156" i="9" s="1"/>
  <c r="H156" i="9"/>
  <c r="O155" i="9"/>
  <c r="N155" i="9"/>
  <c r="M155" i="9"/>
  <c r="L155" i="9"/>
  <c r="J155" i="9"/>
  <c r="I155" i="9"/>
  <c r="K155" i="9" s="1"/>
  <c r="H155" i="9"/>
  <c r="O154" i="9"/>
  <c r="N154" i="9"/>
  <c r="M154" i="9"/>
  <c r="L154" i="9"/>
  <c r="J154" i="9"/>
  <c r="I154" i="9"/>
  <c r="K154" i="9" s="1"/>
  <c r="H154" i="9"/>
  <c r="O153" i="9"/>
  <c r="N153" i="9"/>
  <c r="M153" i="9"/>
  <c r="L153" i="9"/>
  <c r="J153" i="9"/>
  <c r="I153" i="9"/>
  <c r="K153" i="9" s="1"/>
  <c r="H153" i="9"/>
  <c r="O152" i="9"/>
  <c r="N152" i="9"/>
  <c r="M152" i="9"/>
  <c r="L152" i="9"/>
  <c r="J152" i="9"/>
  <c r="I152" i="9"/>
  <c r="K152" i="9" s="1"/>
  <c r="H152" i="9"/>
  <c r="O151" i="9"/>
  <c r="N151" i="9"/>
  <c r="M151" i="9"/>
  <c r="L151" i="9"/>
  <c r="J151" i="9"/>
  <c r="I151" i="9"/>
  <c r="K151" i="9" s="1"/>
  <c r="H151" i="9"/>
  <c r="O150" i="9"/>
  <c r="N150" i="9"/>
  <c r="M150" i="9"/>
  <c r="L150" i="9"/>
  <c r="J150" i="9"/>
  <c r="I150" i="9"/>
  <c r="K150" i="9" s="1"/>
  <c r="H150" i="9"/>
  <c r="O149" i="9"/>
  <c r="N149" i="9"/>
  <c r="M149" i="9"/>
  <c r="L149" i="9"/>
  <c r="J149" i="9"/>
  <c r="I149" i="9"/>
  <c r="H149" i="9"/>
  <c r="O148" i="9"/>
  <c r="N148" i="9"/>
  <c r="M148" i="9"/>
  <c r="L148" i="9"/>
  <c r="J148" i="9"/>
  <c r="I148" i="9"/>
  <c r="K148" i="9" s="1"/>
  <c r="H148" i="9"/>
  <c r="R144" i="9"/>
  <c r="Q144" i="9"/>
  <c r="S144" i="9" s="1"/>
  <c r="Q157" i="9" l="1"/>
  <c r="U158" i="9"/>
  <c r="R158" i="9"/>
  <c r="T158" i="9"/>
  <c r="Q158" i="9"/>
  <c r="R157" i="9"/>
  <c r="K149" i="9"/>
  <c r="S158" i="9" s="1"/>
  <c r="S157" i="9" l="1"/>
  <c r="N4" i="9" l="1"/>
  <c r="B18" i="14" s="1"/>
  <c r="L37" i="14"/>
  <c r="L39" i="14"/>
  <c r="L41" i="14"/>
  <c r="L43" i="14"/>
  <c r="L21" i="14"/>
  <c r="L22" i="14"/>
  <c r="L23" i="14"/>
  <c r="L24" i="14"/>
  <c r="L25" i="14"/>
  <c r="L26" i="14"/>
  <c r="L29" i="14"/>
  <c r="L6" i="14"/>
  <c r="L10" i="14"/>
  <c r="L11" i="14"/>
  <c r="M145" i="9"/>
  <c r="L145" i="9"/>
  <c r="L135" i="9"/>
  <c r="M135" i="9"/>
  <c r="L136" i="9"/>
  <c r="M136" i="9"/>
  <c r="L137" i="9"/>
  <c r="M137" i="9"/>
  <c r="L138" i="9"/>
  <c r="M138" i="9"/>
  <c r="L139" i="9"/>
  <c r="M139" i="9"/>
  <c r="L140" i="9"/>
  <c r="M140" i="9"/>
  <c r="L141" i="9"/>
  <c r="M141" i="9"/>
  <c r="L142" i="9"/>
  <c r="M142" i="9"/>
  <c r="L143" i="9"/>
  <c r="M143" i="9"/>
  <c r="L144" i="9"/>
  <c r="M144" i="9"/>
  <c r="M132" i="9"/>
  <c r="R131" i="9" s="1"/>
  <c r="L132" i="9"/>
  <c r="Q131" i="9" s="1"/>
  <c r="G11" i="10" s="1"/>
  <c r="M134" i="9"/>
  <c r="L134" i="9"/>
  <c r="L127" i="9"/>
  <c r="M127" i="9"/>
  <c r="L128" i="9"/>
  <c r="M128" i="9"/>
  <c r="L129" i="9"/>
  <c r="M129" i="9"/>
  <c r="L130" i="9"/>
  <c r="M130" i="9"/>
  <c r="L131" i="9"/>
  <c r="M131" i="9"/>
  <c r="M126" i="9"/>
  <c r="L126" i="9"/>
  <c r="N126" i="9"/>
  <c r="K23" i="14" s="1"/>
  <c r="I134" i="9"/>
  <c r="O134" i="9"/>
  <c r="L33" i="14" s="1"/>
  <c r="N134" i="9"/>
  <c r="L18" i="14" s="1"/>
  <c r="J134" i="9"/>
  <c r="H147" i="9"/>
  <c r="O145" i="9"/>
  <c r="L44" i="14" s="1"/>
  <c r="N145" i="9"/>
  <c r="J145" i="9"/>
  <c r="I145" i="9"/>
  <c r="K145" i="9" s="1"/>
  <c r="L14" i="14" s="1"/>
  <c r="H145" i="9"/>
  <c r="O144" i="9"/>
  <c r="N144" i="9"/>
  <c r="L28" i="14" s="1"/>
  <c r="J144" i="9"/>
  <c r="I144" i="9"/>
  <c r="K144" i="9" s="1"/>
  <c r="L13" i="14" s="1"/>
  <c r="H144" i="9"/>
  <c r="O143" i="9"/>
  <c r="L42" i="14" s="1"/>
  <c r="N143" i="9"/>
  <c r="L27" i="14" s="1"/>
  <c r="J143" i="9"/>
  <c r="I143" i="9"/>
  <c r="H143" i="9"/>
  <c r="O142" i="9"/>
  <c r="N142" i="9"/>
  <c r="J142" i="9"/>
  <c r="I142" i="9"/>
  <c r="K142" i="9" s="1"/>
  <c r="H142" i="9"/>
  <c r="O141" i="9"/>
  <c r="L40" i="14" s="1"/>
  <c r="N141" i="9"/>
  <c r="J141" i="9"/>
  <c r="I141" i="9"/>
  <c r="K141" i="9" s="1"/>
  <c r="H141" i="9"/>
  <c r="O140" i="9"/>
  <c r="N140" i="9"/>
  <c r="J140" i="9"/>
  <c r="I140" i="9"/>
  <c r="K140" i="9" s="1"/>
  <c r="L9" i="14" s="1"/>
  <c r="H140" i="9"/>
  <c r="O139" i="9"/>
  <c r="L38" i="14" s="1"/>
  <c r="N139" i="9"/>
  <c r="J139" i="9"/>
  <c r="I139" i="9"/>
  <c r="H139" i="9"/>
  <c r="O138" i="9"/>
  <c r="N138" i="9"/>
  <c r="J138" i="9"/>
  <c r="I138" i="9"/>
  <c r="K138" i="9" s="1"/>
  <c r="L7" i="14" s="1"/>
  <c r="H138" i="9"/>
  <c r="O137" i="9"/>
  <c r="L36" i="14" s="1"/>
  <c r="N137" i="9"/>
  <c r="J137" i="9"/>
  <c r="I137" i="9"/>
  <c r="K137" i="9" s="1"/>
  <c r="H137" i="9"/>
  <c r="O136" i="9"/>
  <c r="L35" i="14" s="1"/>
  <c r="N136" i="9"/>
  <c r="L20" i="14" s="1"/>
  <c r="J136" i="9"/>
  <c r="I136" i="9"/>
  <c r="K136" i="9" s="1"/>
  <c r="L5" i="14" s="1"/>
  <c r="H136" i="9"/>
  <c r="O135" i="9"/>
  <c r="L34" i="14" s="1"/>
  <c r="N135" i="9"/>
  <c r="L19" i="14" s="1"/>
  <c r="J135" i="9"/>
  <c r="I135" i="9"/>
  <c r="H135" i="9"/>
  <c r="I119" i="9"/>
  <c r="J38" i="14"/>
  <c r="E23" i="14"/>
  <c r="F23" i="14"/>
  <c r="E8" i="14"/>
  <c r="H31" i="9"/>
  <c r="H32" i="9"/>
  <c r="H33" i="9"/>
  <c r="H34" i="9"/>
  <c r="H35" i="9"/>
  <c r="H36" i="9"/>
  <c r="H37" i="9"/>
  <c r="H38" i="9"/>
  <c r="H39" i="9"/>
  <c r="H40" i="9"/>
  <c r="H41" i="9"/>
  <c r="H30" i="9"/>
  <c r="H18" i="9"/>
  <c r="H19" i="9"/>
  <c r="H20" i="9"/>
  <c r="H21" i="9"/>
  <c r="H22" i="9"/>
  <c r="H23" i="9"/>
  <c r="H24" i="9"/>
  <c r="H25" i="9"/>
  <c r="H26" i="9"/>
  <c r="H27" i="9"/>
  <c r="H28" i="9"/>
  <c r="H17" i="9"/>
  <c r="H5" i="9"/>
  <c r="H6" i="9"/>
  <c r="H7" i="9"/>
  <c r="H8" i="9"/>
  <c r="H9" i="9"/>
  <c r="H10" i="9"/>
  <c r="H11" i="9"/>
  <c r="H12" i="9"/>
  <c r="H13" i="9"/>
  <c r="H14" i="9"/>
  <c r="H15" i="9"/>
  <c r="H4" i="9"/>
  <c r="O126" i="9"/>
  <c r="K38" i="14" s="1"/>
  <c r="H134" i="9"/>
  <c r="O132" i="9"/>
  <c r="K44" i="14" s="1"/>
  <c r="N132" i="9"/>
  <c r="K29" i="14" s="1"/>
  <c r="J132" i="9"/>
  <c r="I132" i="9"/>
  <c r="H132" i="9"/>
  <c r="O131" i="9"/>
  <c r="K43" i="14" s="1"/>
  <c r="N131" i="9"/>
  <c r="K28" i="14" s="1"/>
  <c r="J131" i="9"/>
  <c r="I131" i="9"/>
  <c r="H131" i="9"/>
  <c r="O130" i="9"/>
  <c r="K42" i="14" s="1"/>
  <c r="N130" i="9"/>
  <c r="K27" i="14" s="1"/>
  <c r="J130" i="9"/>
  <c r="I130" i="9"/>
  <c r="H130" i="9"/>
  <c r="O129" i="9"/>
  <c r="K41" i="14" s="1"/>
  <c r="N129" i="9"/>
  <c r="K26" i="14" s="1"/>
  <c r="J129" i="9"/>
  <c r="I129" i="9"/>
  <c r="H129" i="9"/>
  <c r="O128" i="9"/>
  <c r="K40" i="14" s="1"/>
  <c r="N128" i="9"/>
  <c r="K25" i="14" s="1"/>
  <c r="J128" i="9"/>
  <c r="I128" i="9"/>
  <c r="H128" i="9"/>
  <c r="O127" i="9"/>
  <c r="K39" i="14" s="1"/>
  <c r="N127" i="9"/>
  <c r="K24" i="14" s="1"/>
  <c r="J127" i="9"/>
  <c r="I127" i="9"/>
  <c r="H127" i="9"/>
  <c r="J126" i="9"/>
  <c r="I126" i="9"/>
  <c r="H126" i="9"/>
  <c r="O125" i="9"/>
  <c r="K37" i="14" s="1"/>
  <c r="N125" i="9"/>
  <c r="K22" i="14" s="1"/>
  <c r="J125" i="9"/>
  <c r="I125" i="9"/>
  <c r="H125" i="9"/>
  <c r="O124" i="9"/>
  <c r="K36" i="14" s="1"/>
  <c r="N124" i="9"/>
  <c r="K21" i="14" s="1"/>
  <c r="J124" i="9"/>
  <c r="I124" i="9"/>
  <c r="H124" i="9"/>
  <c r="O123" i="9"/>
  <c r="K35" i="14" s="1"/>
  <c r="N123" i="9"/>
  <c r="K20" i="14" s="1"/>
  <c r="J123" i="9"/>
  <c r="I123" i="9"/>
  <c r="H123" i="9"/>
  <c r="O122" i="9"/>
  <c r="K34" i="14" s="1"/>
  <c r="N122" i="9"/>
  <c r="K19" i="14" s="1"/>
  <c r="J122" i="9"/>
  <c r="I122" i="9"/>
  <c r="K122" i="9" s="1"/>
  <c r="K4" i="14" s="1"/>
  <c r="H122" i="9"/>
  <c r="I117" i="9"/>
  <c r="J117" i="9"/>
  <c r="N117" i="9"/>
  <c r="O117" i="9"/>
  <c r="J42" i="14" s="1"/>
  <c r="O15" i="9"/>
  <c r="B44" i="14" s="1"/>
  <c r="N15" i="9"/>
  <c r="B29" i="14" s="1"/>
  <c r="J15" i="9"/>
  <c r="I15" i="9"/>
  <c r="O14" i="9"/>
  <c r="B43" i="14" s="1"/>
  <c r="N14" i="9"/>
  <c r="B28" i="14" s="1"/>
  <c r="J14" i="9"/>
  <c r="I14" i="9"/>
  <c r="O13" i="9"/>
  <c r="B42" i="14" s="1"/>
  <c r="N13" i="9"/>
  <c r="B27" i="14" s="1"/>
  <c r="J13" i="9"/>
  <c r="I13" i="9"/>
  <c r="O12" i="9"/>
  <c r="B41" i="14" s="1"/>
  <c r="N12" i="9"/>
  <c r="B26" i="14" s="1"/>
  <c r="J12" i="9"/>
  <c r="I12" i="9"/>
  <c r="O11" i="9"/>
  <c r="B40" i="14" s="1"/>
  <c r="N11" i="9"/>
  <c r="B25" i="14" s="1"/>
  <c r="J11" i="9"/>
  <c r="I11" i="9"/>
  <c r="O10" i="9"/>
  <c r="B39" i="14" s="1"/>
  <c r="N10" i="9"/>
  <c r="B24" i="14" s="1"/>
  <c r="J10" i="9"/>
  <c r="I10" i="9"/>
  <c r="O9" i="9"/>
  <c r="B38" i="14" s="1"/>
  <c r="N9" i="9"/>
  <c r="B23" i="14" s="1"/>
  <c r="J9" i="9"/>
  <c r="I9" i="9"/>
  <c r="O8" i="9"/>
  <c r="B37" i="14" s="1"/>
  <c r="N8" i="9"/>
  <c r="B22" i="14" s="1"/>
  <c r="J8" i="9"/>
  <c r="I8" i="9"/>
  <c r="O7" i="9"/>
  <c r="B36" i="14" s="1"/>
  <c r="N7" i="9"/>
  <c r="B21" i="14" s="1"/>
  <c r="J7" i="9"/>
  <c r="I7" i="9"/>
  <c r="O6" i="9"/>
  <c r="B35" i="14" s="1"/>
  <c r="N6" i="9"/>
  <c r="B20" i="14" s="1"/>
  <c r="J6" i="9"/>
  <c r="I6" i="9"/>
  <c r="O5" i="9"/>
  <c r="B34" i="14" s="1"/>
  <c r="N5" i="9"/>
  <c r="B19" i="14" s="1"/>
  <c r="J5" i="9"/>
  <c r="I5" i="9"/>
  <c r="O4" i="9"/>
  <c r="B33" i="14" s="1"/>
  <c r="J4" i="9"/>
  <c r="I4" i="9"/>
  <c r="O28" i="9"/>
  <c r="C44" i="14" s="1"/>
  <c r="N28" i="9"/>
  <c r="C29" i="14" s="1"/>
  <c r="J28" i="9"/>
  <c r="I28" i="9"/>
  <c r="O27" i="9"/>
  <c r="C43" i="14" s="1"/>
  <c r="N27" i="9"/>
  <c r="C28" i="14" s="1"/>
  <c r="J27" i="9"/>
  <c r="I27" i="9"/>
  <c r="O26" i="9"/>
  <c r="C42" i="14" s="1"/>
  <c r="N26" i="9"/>
  <c r="C27" i="14" s="1"/>
  <c r="J26" i="9"/>
  <c r="I26" i="9"/>
  <c r="O25" i="9"/>
  <c r="C41" i="14" s="1"/>
  <c r="N25" i="9"/>
  <c r="C26" i="14" s="1"/>
  <c r="J25" i="9"/>
  <c r="I25" i="9"/>
  <c r="O24" i="9"/>
  <c r="C40" i="14" s="1"/>
  <c r="N24" i="9"/>
  <c r="C25" i="14" s="1"/>
  <c r="J24" i="9"/>
  <c r="I24" i="9"/>
  <c r="O23" i="9"/>
  <c r="C39" i="14" s="1"/>
  <c r="N23" i="9"/>
  <c r="C24" i="14" s="1"/>
  <c r="J23" i="9"/>
  <c r="I23" i="9"/>
  <c r="O22" i="9"/>
  <c r="C38" i="14" s="1"/>
  <c r="N22" i="9"/>
  <c r="C23" i="14" s="1"/>
  <c r="J22" i="9"/>
  <c r="I22" i="9"/>
  <c r="O21" i="9"/>
  <c r="C37" i="14" s="1"/>
  <c r="N21" i="9"/>
  <c r="C22" i="14" s="1"/>
  <c r="J21" i="9"/>
  <c r="I21" i="9"/>
  <c r="O20" i="9"/>
  <c r="C36" i="14" s="1"/>
  <c r="N20" i="9"/>
  <c r="C21" i="14" s="1"/>
  <c r="J20" i="9"/>
  <c r="I20" i="9"/>
  <c r="O19" i="9"/>
  <c r="C35" i="14" s="1"/>
  <c r="N19" i="9"/>
  <c r="C20" i="14" s="1"/>
  <c r="J19" i="9"/>
  <c r="I19" i="9"/>
  <c r="O18" i="9"/>
  <c r="C34" i="14" s="1"/>
  <c r="N18" i="9"/>
  <c r="C19" i="14" s="1"/>
  <c r="J18" i="9"/>
  <c r="I18" i="9"/>
  <c r="O17" i="9"/>
  <c r="C33" i="14" s="1"/>
  <c r="N17" i="9"/>
  <c r="C18" i="14" s="1"/>
  <c r="J17" i="9"/>
  <c r="I17" i="9"/>
  <c r="O41" i="9"/>
  <c r="D44" i="14" s="1"/>
  <c r="N41" i="9"/>
  <c r="D29" i="14" s="1"/>
  <c r="J41" i="9"/>
  <c r="I41" i="9"/>
  <c r="O40" i="9"/>
  <c r="D43" i="14" s="1"/>
  <c r="N40" i="9"/>
  <c r="D28" i="14" s="1"/>
  <c r="J40" i="9"/>
  <c r="I40" i="9"/>
  <c r="O39" i="9"/>
  <c r="D42" i="14" s="1"/>
  <c r="N39" i="9"/>
  <c r="D27" i="14" s="1"/>
  <c r="J39" i="9"/>
  <c r="I39" i="9"/>
  <c r="O38" i="9"/>
  <c r="D41" i="14" s="1"/>
  <c r="N38" i="9"/>
  <c r="D26" i="14" s="1"/>
  <c r="J38" i="9"/>
  <c r="I38" i="9"/>
  <c r="O37" i="9"/>
  <c r="D40" i="14" s="1"/>
  <c r="N37" i="9"/>
  <c r="D25" i="14" s="1"/>
  <c r="J37" i="9"/>
  <c r="I37" i="9"/>
  <c r="O36" i="9"/>
  <c r="D39" i="14" s="1"/>
  <c r="N36" i="9"/>
  <c r="D24" i="14" s="1"/>
  <c r="J36" i="9"/>
  <c r="I36" i="9"/>
  <c r="O35" i="9"/>
  <c r="D38" i="14" s="1"/>
  <c r="N35" i="9"/>
  <c r="D23" i="14" s="1"/>
  <c r="J35" i="9"/>
  <c r="I35" i="9"/>
  <c r="O34" i="9"/>
  <c r="D37" i="14" s="1"/>
  <c r="N34" i="9"/>
  <c r="D22" i="14" s="1"/>
  <c r="J34" i="9"/>
  <c r="I34" i="9"/>
  <c r="O33" i="9"/>
  <c r="D36" i="14" s="1"/>
  <c r="N33" i="9"/>
  <c r="D21" i="14" s="1"/>
  <c r="J33" i="9"/>
  <c r="I33" i="9"/>
  <c r="O32" i="9"/>
  <c r="D35" i="14" s="1"/>
  <c r="N32" i="9"/>
  <c r="D20" i="14" s="1"/>
  <c r="J32" i="9"/>
  <c r="I32" i="9"/>
  <c r="O31" i="9"/>
  <c r="D34" i="14" s="1"/>
  <c r="N31" i="9"/>
  <c r="D19" i="14" s="1"/>
  <c r="J31" i="9"/>
  <c r="I31" i="9"/>
  <c r="O30" i="9"/>
  <c r="D33" i="14" s="1"/>
  <c r="N30" i="9"/>
  <c r="D18" i="14" s="1"/>
  <c r="J30" i="9"/>
  <c r="I30" i="9"/>
  <c r="O54" i="9"/>
  <c r="E44" i="14" s="1"/>
  <c r="N54" i="9"/>
  <c r="E29" i="14" s="1"/>
  <c r="J54" i="9"/>
  <c r="I54" i="9"/>
  <c r="O53" i="9"/>
  <c r="E43" i="14" s="1"/>
  <c r="N53" i="9"/>
  <c r="E28" i="14" s="1"/>
  <c r="J53" i="9"/>
  <c r="I53" i="9"/>
  <c r="O52" i="9"/>
  <c r="E42" i="14" s="1"/>
  <c r="N52" i="9"/>
  <c r="E27" i="14" s="1"/>
  <c r="J52" i="9"/>
  <c r="I52" i="9"/>
  <c r="O51" i="9"/>
  <c r="E41" i="14" s="1"/>
  <c r="N51" i="9"/>
  <c r="E26" i="14" s="1"/>
  <c r="J51" i="9"/>
  <c r="I51" i="9"/>
  <c r="O50" i="9"/>
  <c r="E40" i="14" s="1"/>
  <c r="N50" i="9"/>
  <c r="E25" i="14" s="1"/>
  <c r="J50" i="9"/>
  <c r="I50" i="9"/>
  <c r="O49" i="9"/>
  <c r="E39" i="14" s="1"/>
  <c r="N49" i="9"/>
  <c r="E24" i="14" s="1"/>
  <c r="J49" i="9"/>
  <c r="I49" i="9"/>
  <c r="O48" i="9"/>
  <c r="E38" i="14" s="1"/>
  <c r="O47" i="9"/>
  <c r="E37" i="14" s="1"/>
  <c r="N47" i="9"/>
  <c r="E22" i="14" s="1"/>
  <c r="J47" i="9"/>
  <c r="I47" i="9"/>
  <c r="O46" i="9"/>
  <c r="E36" i="14" s="1"/>
  <c r="N46" i="9"/>
  <c r="E21" i="14" s="1"/>
  <c r="J46" i="9"/>
  <c r="I46" i="9"/>
  <c r="O45" i="9"/>
  <c r="E35" i="14" s="1"/>
  <c r="N45" i="9"/>
  <c r="E20" i="14" s="1"/>
  <c r="J45" i="9"/>
  <c r="I45" i="9"/>
  <c r="O44" i="9"/>
  <c r="E34" i="14" s="1"/>
  <c r="N44" i="9"/>
  <c r="E19" i="14" s="1"/>
  <c r="J44" i="9"/>
  <c r="I44" i="9"/>
  <c r="O43" i="9"/>
  <c r="E33" i="14" s="1"/>
  <c r="N43" i="9"/>
  <c r="E18" i="14" s="1"/>
  <c r="J43" i="9"/>
  <c r="I43" i="9"/>
  <c r="O67" i="9"/>
  <c r="N67" i="9"/>
  <c r="J67" i="9"/>
  <c r="I67" i="9"/>
  <c r="O66" i="9"/>
  <c r="N66" i="9"/>
  <c r="J66" i="9"/>
  <c r="I66" i="9"/>
  <c r="O65" i="9"/>
  <c r="N65" i="9"/>
  <c r="J65" i="9"/>
  <c r="I65" i="9"/>
  <c r="O64" i="9"/>
  <c r="N64" i="9"/>
  <c r="J64" i="9"/>
  <c r="I64" i="9"/>
  <c r="O63" i="9"/>
  <c r="N63" i="9"/>
  <c r="J63" i="9"/>
  <c r="I63" i="9"/>
  <c r="O62" i="9"/>
  <c r="N62" i="9"/>
  <c r="J62" i="9"/>
  <c r="I62" i="9"/>
  <c r="O61" i="9"/>
  <c r="N61" i="9"/>
  <c r="J61" i="9"/>
  <c r="I61" i="9"/>
  <c r="O60" i="9"/>
  <c r="N60" i="9"/>
  <c r="J60" i="9"/>
  <c r="I60" i="9"/>
  <c r="O59" i="9"/>
  <c r="N59" i="9"/>
  <c r="J59" i="9"/>
  <c r="I59" i="9"/>
  <c r="O58" i="9"/>
  <c r="N58" i="9"/>
  <c r="J58" i="9"/>
  <c r="I58" i="9"/>
  <c r="O57" i="9"/>
  <c r="N57" i="9"/>
  <c r="J57" i="9"/>
  <c r="I57" i="9"/>
  <c r="O56" i="9"/>
  <c r="N56" i="9"/>
  <c r="J56" i="9"/>
  <c r="I56" i="9"/>
  <c r="H109" i="9"/>
  <c r="H110" i="9"/>
  <c r="H111" i="9"/>
  <c r="H112" i="9"/>
  <c r="H113" i="9"/>
  <c r="H114" i="9"/>
  <c r="H115" i="9"/>
  <c r="H116" i="9"/>
  <c r="H117" i="9"/>
  <c r="H118" i="9"/>
  <c r="H119" i="9"/>
  <c r="O121" i="9"/>
  <c r="K33" i="14" s="1"/>
  <c r="N121" i="9"/>
  <c r="K18" i="14" s="1"/>
  <c r="J121" i="9"/>
  <c r="I121" i="9"/>
  <c r="H121" i="9"/>
  <c r="O119" i="9"/>
  <c r="J44" i="14" s="1"/>
  <c r="N119" i="9"/>
  <c r="J119" i="9"/>
  <c r="O118" i="9"/>
  <c r="J43" i="14" s="1"/>
  <c r="N118" i="9"/>
  <c r="J118" i="9"/>
  <c r="I118" i="9"/>
  <c r="O116" i="9"/>
  <c r="J41" i="14" s="1"/>
  <c r="N116" i="9"/>
  <c r="J116" i="9"/>
  <c r="I116" i="9"/>
  <c r="O115" i="9"/>
  <c r="J40" i="14" s="1"/>
  <c r="N115" i="9"/>
  <c r="J115" i="9"/>
  <c r="I115" i="9"/>
  <c r="O114" i="9"/>
  <c r="J39" i="14" s="1"/>
  <c r="N114" i="9"/>
  <c r="J24" i="14" s="1"/>
  <c r="J114" i="9"/>
  <c r="I114" i="9"/>
  <c r="N113" i="9"/>
  <c r="J113" i="9"/>
  <c r="I113" i="9"/>
  <c r="O112" i="9"/>
  <c r="J37" i="14" s="1"/>
  <c r="N112" i="9"/>
  <c r="J112" i="9"/>
  <c r="I112" i="9"/>
  <c r="O111" i="9"/>
  <c r="J36" i="14" s="1"/>
  <c r="N111" i="9"/>
  <c r="J111" i="9"/>
  <c r="I111" i="9"/>
  <c r="O110" i="9"/>
  <c r="J35" i="14" s="1"/>
  <c r="N110" i="9"/>
  <c r="J110" i="9"/>
  <c r="I110" i="9"/>
  <c r="O109" i="9"/>
  <c r="J34" i="14" s="1"/>
  <c r="N109" i="9"/>
  <c r="J109" i="9"/>
  <c r="I109" i="9"/>
  <c r="I99" i="9"/>
  <c r="N99" i="9"/>
  <c r="O83" i="9"/>
  <c r="H34" i="14" s="1"/>
  <c r="O69" i="9"/>
  <c r="G33" i="14" s="1"/>
  <c r="N69" i="9"/>
  <c r="G18" i="14" s="1"/>
  <c r="O80" i="9"/>
  <c r="G44" i="14" s="1"/>
  <c r="N80" i="9"/>
  <c r="G29" i="14" s="1"/>
  <c r="J80" i="9"/>
  <c r="I80" i="9"/>
  <c r="O79" i="9"/>
  <c r="G43" i="14" s="1"/>
  <c r="N79" i="9"/>
  <c r="G28" i="14" s="1"/>
  <c r="J79" i="9"/>
  <c r="I79" i="9"/>
  <c r="O78" i="9"/>
  <c r="G42" i="14" s="1"/>
  <c r="N78" i="9"/>
  <c r="G27" i="14" s="1"/>
  <c r="J78" i="9"/>
  <c r="I78" i="9"/>
  <c r="O77" i="9"/>
  <c r="G41" i="14" s="1"/>
  <c r="N77" i="9"/>
  <c r="G26" i="14" s="1"/>
  <c r="J77" i="9"/>
  <c r="I77" i="9"/>
  <c r="O76" i="9"/>
  <c r="G40" i="14" s="1"/>
  <c r="N76" i="9"/>
  <c r="G25" i="14" s="1"/>
  <c r="J76" i="9"/>
  <c r="I76" i="9"/>
  <c r="O75" i="9"/>
  <c r="G39" i="14" s="1"/>
  <c r="N75" i="9"/>
  <c r="G24" i="14" s="1"/>
  <c r="J75" i="9"/>
  <c r="I75" i="9"/>
  <c r="O74" i="9"/>
  <c r="G38" i="14" s="1"/>
  <c r="N74" i="9"/>
  <c r="G23" i="14" s="1"/>
  <c r="J74" i="9"/>
  <c r="I74" i="9"/>
  <c r="O73" i="9"/>
  <c r="G37" i="14" s="1"/>
  <c r="N73" i="9"/>
  <c r="G22" i="14" s="1"/>
  <c r="J73" i="9"/>
  <c r="I73" i="9"/>
  <c r="O72" i="9"/>
  <c r="G36" i="14" s="1"/>
  <c r="N72" i="9"/>
  <c r="G21" i="14" s="1"/>
  <c r="J72" i="9"/>
  <c r="I72" i="9"/>
  <c r="O71" i="9"/>
  <c r="G35" i="14" s="1"/>
  <c r="N71" i="9"/>
  <c r="G20" i="14" s="1"/>
  <c r="J71" i="9"/>
  <c r="I71" i="9"/>
  <c r="O70" i="9"/>
  <c r="G34" i="14" s="1"/>
  <c r="N70" i="9"/>
  <c r="G19" i="14" s="1"/>
  <c r="J70" i="9"/>
  <c r="I70" i="9"/>
  <c r="J69" i="9"/>
  <c r="I69" i="9"/>
  <c r="O108" i="9"/>
  <c r="J33" i="14" s="1"/>
  <c r="N108" i="9"/>
  <c r="J108" i="9"/>
  <c r="I108" i="9"/>
  <c r="O106" i="9"/>
  <c r="I44" i="14" s="1"/>
  <c r="N106" i="9"/>
  <c r="I29" i="14" s="1"/>
  <c r="N93" i="9"/>
  <c r="H29" i="14" s="1"/>
  <c r="N95" i="9"/>
  <c r="N96" i="9"/>
  <c r="N97" i="9"/>
  <c r="N98" i="9"/>
  <c r="N100" i="9"/>
  <c r="I23" i="14" s="1"/>
  <c r="O100" i="9"/>
  <c r="I38" i="14" s="1"/>
  <c r="N101" i="9"/>
  <c r="I24" i="14" s="1"/>
  <c r="O101" i="9"/>
  <c r="I39" i="14" s="1"/>
  <c r="N102" i="9"/>
  <c r="I25" i="14" s="1"/>
  <c r="O102" i="9"/>
  <c r="I40" i="14" s="1"/>
  <c r="N103" i="9"/>
  <c r="I26" i="14" s="1"/>
  <c r="O103" i="9"/>
  <c r="I41" i="14" s="1"/>
  <c r="N104" i="9"/>
  <c r="I27" i="14" s="1"/>
  <c r="O104" i="9"/>
  <c r="I42" i="14" s="1"/>
  <c r="N105" i="9"/>
  <c r="I28" i="14" s="1"/>
  <c r="O105" i="9"/>
  <c r="I43" i="14" s="1"/>
  <c r="N83" i="9"/>
  <c r="H19" i="14" s="1"/>
  <c r="N84" i="9"/>
  <c r="H20" i="14" s="1"/>
  <c r="N85" i="9"/>
  <c r="H21" i="14" s="1"/>
  <c r="N86" i="9"/>
  <c r="H22" i="14" s="1"/>
  <c r="N87" i="9"/>
  <c r="H23" i="14" s="1"/>
  <c r="N88" i="9"/>
  <c r="H24" i="14" s="1"/>
  <c r="N89" i="9"/>
  <c r="H25" i="14" s="1"/>
  <c r="N90" i="9"/>
  <c r="H26" i="14" s="1"/>
  <c r="N91" i="9"/>
  <c r="H27" i="14" s="1"/>
  <c r="N92" i="9"/>
  <c r="H28" i="14" s="1"/>
  <c r="O82" i="9"/>
  <c r="H33" i="14" s="1"/>
  <c r="N82" i="9"/>
  <c r="H18" i="14" s="1"/>
  <c r="K128" i="9" l="1"/>
  <c r="K10" i="14" s="1"/>
  <c r="K124" i="9"/>
  <c r="K6" i="14" s="1"/>
  <c r="S131" i="9"/>
  <c r="I11" i="10" s="1"/>
  <c r="H11" i="10"/>
  <c r="K132" i="9"/>
  <c r="K14" i="14" s="1"/>
  <c r="K135" i="9"/>
  <c r="L4" i="14" s="1"/>
  <c r="K139" i="9"/>
  <c r="L8" i="14" s="1"/>
  <c r="K143" i="9"/>
  <c r="L12" i="14" s="1"/>
  <c r="K134" i="9"/>
  <c r="L3" i="14" s="1"/>
  <c r="K130" i="9"/>
  <c r="K12" i="14" s="1"/>
  <c r="K123" i="9"/>
  <c r="K5" i="14" s="1"/>
  <c r="K125" i="9"/>
  <c r="K7" i="14" s="1"/>
  <c r="R145" i="9"/>
  <c r="T145" i="9"/>
  <c r="U145" i="9"/>
  <c r="Q145" i="9"/>
  <c r="F33" i="14"/>
  <c r="K119" i="9"/>
  <c r="J14" i="14" s="1"/>
  <c r="K118" i="9"/>
  <c r="J13" i="14" s="1"/>
  <c r="K117" i="9"/>
  <c r="J12" i="14" s="1"/>
  <c r="F27" i="14"/>
  <c r="F29" i="14"/>
  <c r="J25" i="14"/>
  <c r="F18" i="14"/>
  <c r="F28" i="14"/>
  <c r="J23" i="14"/>
  <c r="J18" i="14"/>
  <c r="F26" i="14"/>
  <c r="J22" i="14"/>
  <c r="J21" i="14"/>
  <c r="J20" i="14"/>
  <c r="J19" i="14"/>
  <c r="F35" i="14"/>
  <c r="F34" i="14"/>
  <c r="J29" i="14"/>
  <c r="F25" i="14"/>
  <c r="F36" i="14"/>
  <c r="J28" i="14"/>
  <c r="F24" i="14"/>
  <c r="F37" i="14"/>
  <c r="J27" i="14"/>
  <c r="F22" i="14"/>
  <c r="F21" i="14"/>
  <c r="F20" i="14"/>
  <c r="F19" i="14"/>
  <c r="F44" i="14"/>
  <c r="F43" i="14"/>
  <c r="F42" i="14"/>
  <c r="F41" i="14"/>
  <c r="F40" i="14"/>
  <c r="F39" i="14"/>
  <c r="F38" i="14"/>
  <c r="J26" i="14"/>
  <c r="R132" i="9"/>
  <c r="C11" i="10" s="1"/>
  <c r="U132" i="9"/>
  <c r="F11" i="10" s="1"/>
  <c r="T132" i="9"/>
  <c r="E11" i="10" s="1"/>
  <c r="K121" i="9"/>
  <c r="K3" i="14" s="1"/>
  <c r="K126" i="9"/>
  <c r="K8" i="14" s="1"/>
  <c r="Q132" i="9"/>
  <c r="B11" i="10" s="1"/>
  <c r="K127" i="9"/>
  <c r="K9" i="14" s="1"/>
  <c r="K129" i="9"/>
  <c r="K11" i="14" s="1"/>
  <c r="K131" i="9"/>
  <c r="K13" i="14" s="1"/>
  <c r="K116" i="9"/>
  <c r="J11" i="14" s="1"/>
  <c r="K50" i="9"/>
  <c r="E10" i="14" s="1"/>
  <c r="K52" i="9"/>
  <c r="E12" i="14" s="1"/>
  <c r="K54" i="9"/>
  <c r="E14" i="14" s="1"/>
  <c r="K31" i="9"/>
  <c r="D4" i="14" s="1"/>
  <c r="K33" i="9"/>
  <c r="D6" i="14" s="1"/>
  <c r="K35" i="9"/>
  <c r="D8" i="14" s="1"/>
  <c r="K37" i="9"/>
  <c r="D10" i="14" s="1"/>
  <c r="K39" i="9"/>
  <c r="D12" i="14" s="1"/>
  <c r="K41" i="9"/>
  <c r="D14" i="14" s="1"/>
  <c r="K18" i="9"/>
  <c r="C4" i="14" s="1"/>
  <c r="K22" i="9"/>
  <c r="C8" i="14" s="1"/>
  <c r="K24" i="9"/>
  <c r="C10" i="14" s="1"/>
  <c r="K26" i="9"/>
  <c r="C12" i="14" s="1"/>
  <c r="K28" i="9"/>
  <c r="C14" i="14" s="1"/>
  <c r="K5" i="9"/>
  <c r="B4" i="14" s="1"/>
  <c r="K7" i="9"/>
  <c r="B6" i="14" s="1"/>
  <c r="K9" i="9"/>
  <c r="B8" i="14" s="1"/>
  <c r="K11" i="9"/>
  <c r="B10" i="14" s="1"/>
  <c r="K13" i="9"/>
  <c r="B12" i="14" s="1"/>
  <c r="K15" i="9"/>
  <c r="B14" i="14" s="1"/>
  <c r="T15" i="9"/>
  <c r="E2" i="10" s="1"/>
  <c r="K23" i="9"/>
  <c r="C9" i="14" s="1"/>
  <c r="K25" i="9"/>
  <c r="C11" i="14" s="1"/>
  <c r="K8" i="9"/>
  <c r="B7" i="14" s="1"/>
  <c r="K10" i="9"/>
  <c r="B9" i="14" s="1"/>
  <c r="K12" i="9"/>
  <c r="B11" i="14" s="1"/>
  <c r="K14" i="9"/>
  <c r="B13" i="14" s="1"/>
  <c r="K114" i="9"/>
  <c r="J9" i="14" s="1"/>
  <c r="K115" i="9"/>
  <c r="J10" i="14" s="1"/>
  <c r="K112" i="9"/>
  <c r="J7" i="14" s="1"/>
  <c r="K111" i="9"/>
  <c r="J6" i="14" s="1"/>
  <c r="K45" i="9"/>
  <c r="E5" i="14" s="1"/>
  <c r="K47" i="9"/>
  <c r="E7" i="14" s="1"/>
  <c r="K21" i="9"/>
  <c r="C7" i="14" s="1"/>
  <c r="K6" i="9"/>
  <c r="B5" i="14" s="1"/>
  <c r="K71" i="9"/>
  <c r="G5" i="14" s="1"/>
  <c r="K73" i="9"/>
  <c r="G7" i="14" s="1"/>
  <c r="K20" i="9"/>
  <c r="C6" i="14" s="1"/>
  <c r="K59" i="9"/>
  <c r="F6" i="14" s="1"/>
  <c r="K61" i="9"/>
  <c r="F8" i="14" s="1"/>
  <c r="K63" i="9"/>
  <c r="F10" i="14" s="1"/>
  <c r="K44" i="9"/>
  <c r="E4" i="14" s="1"/>
  <c r="K46" i="9"/>
  <c r="E6" i="14" s="1"/>
  <c r="K32" i="9"/>
  <c r="D5" i="14" s="1"/>
  <c r="K34" i="9"/>
  <c r="D7" i="14" s="1"/>
  <c r="K36" i="9"/>
  <c r="D9" i="14" s="1"/>
  <c r="K38" i="9"/>
  <c r="D11" i="14" s="1"/>
  <c r="K40" i="9"/>
  <c r="D13" i="14" s="1"/>
  <c r="K19" i="9"/>
  <c r="C5" i="14" s="1"/>
  <c r="K27" i="9"/>
  <c r="C13" i="14" s="1"/>
  <c r="K110" i="9"/>
  <c r="J5" i="14" s="1"/>
  <c r="R119" i="9"/>
  <c r="C10" i="10" s="1"/>
  <c r="T119" i="9"/>
  <c r="E10" i="10" s="1"/>
  <c r="Q119" i="9"/>
  <c r="B10" i="10" s="1"/>
  <c r="U119" i="9"/>
  <c r="F10" i="10" s="1"/>
  <c r="K58" i="9"/>
  <c r="F5" i="14" s="1"/>
  <c r="K60" i="9"/>
  <c r="F7" i="14" s="1"/>
  <c r="K62" i="9"/>
  <c r="F9" i="14" s="1"/>
  <c r="K64" i="9"/>
  <c r="F11" i="14" s="1"/>
  <c r="K66" i="9"/>
  <c r="F13" i="14" s="1"/>
  <c r="K49" i="9"/>
  <c r="E9" i="14" s="1"/>
  <c r="K51" i="9"/>
  <c r="E11" i="14" s="1"/>
  <c r="K53" i="9"/>
  <c r="E13" i="14" s="1"/>
  <c r="U28" i="9"/>
  <c r="F3" i="10" s="1"/>
  <c r="Q15" i="9"/>
  <c r="B2" i="10" s="1"/>
  <c r="U15" i="9"/>
  <c r="F2" i="10" s="1"/>
  <c r="R15" i="9"/>
  <c r="C2" i="10" s="1"/>
  <c r="T28" i="9"/>
  <c r="E3" i="10" s="1"/>
  <c r="Q28" i="9"/>
  <c r="B3" i="10" s="1"/>
  <c r="K4" i="9"/>
  <c r="B3" i="14" s="1"/>
  <c r="R28" i="9"/>
  <c r="C3" i="10" s="1"/>
  <c r="T41" i="9"/>
  <c r="E4" i="10" s="1"/>
  <c r="K17" i="9"/>
  <c r="C3" i="14" s="1"/>
  <c r="U41" i="9"/>
  <c r="F4" i="10" s="1"/>
  <c r="Q41" i="9"/>
  <c r="B4" i="10" s="1"/>
  <c r="U54" i="9"/>
  <c r="F5" i="10" s="1"/>
  <c r="R41" i="9"/>
  <c r="C4" i="10" s="1"/>
  <c r="Q67" i="9"/>
  <c r="B6" i="10" s="1"/>
  <c r="Q54" i="9"/>
  <c r="B5" i="10" s="1"/>
  <c r="K30" i="9"/>
  <c r="D3" i="14" s="1"/>
  <c r="R54" i="9"/>
  <c r="C5" i="10" s="1"/>
  <c r="T54" i="9"/>
  <c r="E5" i="10" s="1"/>
  <c r="K74" i="9"/>
  <c r="G8" i="14" s="1"/>
  <c r="K76" i="9"/>
  <c r="G10" i="14" s="1"/>
  <c r="K78" i="9"/>
  <c r="G12" i="14" s="1"/>
  <c r="K80" i="9"/>
  <c r="G14" i="14" s="1"/>
  <c r="K43" i="9"/>
  <c r="E3" i="14" s="1"/>
  <c r="K57" i="9"/>
  <c r="F4" i="14" s="1"/>
  <c r="K65" i="9"/>
  <c r="F12" i="14" s="1"/>
  <c r="U67" i="9"/>
  <c r="F6" i="10" s="1"/>
  <c r="R67" i="9"/>
  <c r="C6" i="10" s="1"/>
  <c r="T67" i="9"/>
  <c r="E6" i="10" s="1"/>
  <c r="K67" i="9"/>
  <c r="F14" i="14" s="1"/>
  <c r="K56" i="9"/>
  <c r="F3" i="14" s="1"/>
  <c r="K75" i="9"/>
  <c r="G9" i="14" s="1"/>
  <c r="K77" i="9"/>
  <c r="G11" i="14" s="1"/>
  <c r="K72" i="9"/>
  <c r="G6" i="14" s="1"/>
  <c r="K109" i="9"/>
  <c r="J4" i="14" s="1"/>
  <c r="K113" i="9"/>
  <c r="J8" i="14" s="1"/>
  <c r="K108" i="9"/>
  <c r="J3" i="14" s="1"/>
  <c r="O85" i="9"/>
  <c r="H36" i="14" s="1"/>
  <c r="O84" i="9"/>
  <c r="H35" i="14" s="1"/>
  <c r="K79" i="9"/>
  <c r="G13" i="14" s="1"/>
  <c r="R80" i="9"/>
  <c r="C7" i="10" s="1"/>
  <c r="K70" i="9"/>
  <c r="G4" i="14" s="1"/>
  <c r="Q80" i="9"/>
  <c r="B7" i="10" s="1"/>
  <c r="K69" i="9"/>
  <c r="G3" i="14" s="1"/>
  <c r="T80" i="9"/>
  <c r="E7" i="10" s="1"/>
  <c r="U80" i="9"/>
  <c r="F7" i="10" s="1"/>
  <c r="S145" i="9" l="1"/>
  <c r="S132" i="9"/>
  <c r="D11" i="10" s="1"/>
  <c r="S15" i="9"/>
  <c r="D2" i="10" s="1"/>
  <c r="S41" i="9"/>
  <c r="D4" i="10" s="1"/>
  <c r="S28" i="9"/>
  <c r="D3" i="10" s="1"/>
  <c r="S119" i="9"/>
  <c r="D10" i="10" s="1"/>
  <c r="S54" i="9"/>
  <c r="D5" i="10" s="1"/>
  <c r="S67" i="9"/>
  <c r="D6" i="10" s="1"/>
  <c r="S80" i="9"/>
  <c r="D7" i="10" s="1"/>
  <c r="O86" i="9"/>
  <c r="H37" i="14" s="1"/>
  <c r="J106" i="9"/>
  <c r="I106" i="9"/>
  <c r="J105" i="9"/>
  <c r="I105" i="9"/>
  <c r="J104" i="9"/>
  <c r="I104" i="9"/>
  <c r="J103" i="9"/>
  <c r="I103" i="9"/>
  <c r="J102" i="9"/>
  <c r="I102" i="9"/>
  <c r="J101" i="9"/>
  <c r="I101" i="9"/>
  <c r="J100" i="9"/>
  <c r="I100" i="9"/>
  <c r="J99" i="9"/>
  <c r="J98" i="9"/>
  <c r="I98" i="9"/>
  <c r="K98" i="9" s="1"/>
  <c r="J97" i="9"/>
  <c r="I97" i="9"/>
  <c r="K97" i="9" s="1"/>
  <c r="J95" i="9"/>
  <c r="I95" i="9"/>
  <c r="J93" i="9"/>
  <c r="I93" i="9"/>
  <c r="I83" i="9"/>
  <c r="J83" i="9"/>
  <c r="I84" i="9"/>
  <c r="J84" i="9"/>
  <c r="I85" i="9"/>
  <c r="J85" i="9"/>
  <c r="I86" i="9"/>
  <c r="J86" i="9"/>
  <c r="I87" i="9"/>
  <c r="J87" i="9"/>
  <c r="I88" i="9"/>
  <c r="J88" i="9"/>
  <c r="I89" i="9"/>
  <c r="J89" i="9"/>
  <c r="I90" i="9"/>
  <c r="J90" i="9"/>
  <c r="I91" i="9"/>
  <c r="J91" i="9"/>
  <c r="I92" i="9"/>
  <c r="J92" i="9"/>
  <c r="J82" i="9"/>
  <c r="I82" i="9"/>
  <c r="K82" i="9" l="1"/>
  <c r="H3" i="14" s="1"/>
  <c r="K104" i="9"/>
  <c r="I12" i="14" s="1"/>
  <c r="K106" i="9"/>
  <c r="I14" i="14" s="1"/>
  <c r="K105" i="9"/>
  <c r="I13" i="14" s="1"/>
  <c r="K103" i="9"/>
  <c r="I11" i="14" s="1"/>
  <c r="K101" i="9"/>
  <c r="I9" i="14" s="1"/>
  <c r="K100" i="9"/>
  <c r="I8" i="14" s="1"/>
  <c r="K88" i="9"/>
  <c r="H9" i="14" s="1"/>
  <c r="O87" i="9"/>
  <c r="H38" i="14" s="1"/>
  <c r="K95" i="9"/>
  <c r="I3" i="14" s="1"/>
  <c r="K96" i="9"/>
  <c r="K93" i="9"/>
  <c r="H14" i="14" s="1"/>
  <c r="K92" i="9"/>
  <c r="H13" i="14" s="1"/>
  <c r="K91" i="9"/>
  <c r="H12" i="14" s="1"/>
  <c r="K90" i="9"/>
  <c r="H11" i="14" s="1"/>
  <c r="K89" i="9"/>
  <c r="H10" i="14" s="1"/>
  <c r="K87" i="9"/>
  <c r="H8" i="14" s="1"/>
  <c r="K86" i="9"/>
  <c r="H7" i="14" s="1"/>
  <c r="K85" i="9"/>
  <c r="H6" i="14" s="1"/>
  <c r="K84" i="9"/>
  <c r="H5" i="14" s="1"/>
  <c r="K83" i="9"/>
  <c r="H4" i="14" s="1"/>
  <c r="K102" i="9"/>
  <c r="I10" i="14" s="1"/>
  <c r="K99" i="9"/>
  <c r="H108" i="9"/>
  <c r="H106" i="9"/>
  <c r="H105" i="9"/>
  <c r="H104" i="9"/>
  <c r="H103" i="9"/>
  <c r="H102" i="9"/>
  <c r="H101" i="9"/>
  <c r="H100" i="9"/>
  <c r="H99" i="9"/>
  <c r="H98" i="9"/>
  <c r="H97" i="9"/>
  <c r="H96" i="9"/>
  <c r="H95" i="9"/>
  <c r="R93" i="9"/>
  <c r="C8" i="10" s="1"/>
  <c r="O88" i="9" l="1"/>
  <c r="H39" i="14" s="1"/>
  <c r="T93" i="9"/>
  <c r="E8" i="10" s="1"/>
  <c r="T106" i="9"/>
  <c r="E9" i="10" s="1"/>
  <c r="R106" i="9"/>
  <c r="C9" i="10" s="1"/>
  <c r="S106" i="9"/>
  <c r="D9" i="10" s="1"/>
  <c r="Q106" i="9"/>
  <c r="B9" i="10" s="1"/>
  <c r="S93" i="9"/>
  <c r="D8" i="10" s="1"/>
  <c r="Q93" i="9"/>
  <c r="B8" i="10" s="1"/>
  <c r="O89" i="9" l="1"/>
  <c r="H40" i="14" s="1"/>
  <c r="O90" i="9" l="1"/>
  <c r="H41" i="14" s="1"/>
  <c r="O91" i="9" l="1"/>
  <c r="H42" i="14" s="1"/>
  <c r="O92" i="9" l="1"/>
  <c r="H43" i="14" s="1"/>
  <c r="G95" i="9"/>
  <c r="O93" i="9" l="1"/>
  <c r="G96" i="9"/>
  <c r="U93" i="9" l="1"/>
  <c r="F8" i="10" s="1"/>
  <c r="H44" i="14"/>
  <c r="G97" i="9"/>
  <c r="O95" i="9"/>
  <c r="I33" i="14" s="1"/>
  <c r="O96" i="9" l="1"/>
  <c r="I34" i="14" s="1"/>
  <c r="G98" i="9"/>
  <c r="O97" i="9" l="1"/>
  <c r="I35" i="14" s="1"/>
  <c r="G99" i="9"/>
  <c r="O99" i="9" l="1"/>
  <c r="I37" i="14" s="1"/>
  <c r="O98" i="9"/>
  <c r="I36" i="14" s="1"/>
  <c r="U106" i="9" l="1"/>
  <c r="F9" i="10" s="1"/>
</calcChain>
</file>

<file path=xl/sharedStrings.xml><?xml version="1.0" encoding="utf-8"?>
<sst xmlns="http://schemas.openxmlformats.org/spreadsheetml/2006/main" count="87" uniqueCount="50">
  <si>
    <t>Meterstanden</t>
  </si>
  <si>
    <t>maand Verbruik</t>
  </si>
  <si>
    <t>jaar Verbruik</t>
  </si>
  <si>
    <r>
      <t xml:space="preserve">Elektr. 1
</t>
    </r>
    <r>
      <rPr>
        <i/>
        <sz val="11"/>
        <color theme="1"/>
        <rFont val="Calibri"/>
        <family val="2"/>
        <scheme val="minor"/>
      </rPr>
      <t>Laag tarief</t>
    </r>
  </si>
  <si>
    <r>
      <t xml:space="preserve">Elektr. 2
</t>
    </r>
    <r>
      <rPr>
        <i/>
        <sz val="11"/>
        <color theme="1"/>
        <rFont val="Calibri"/>
        <family val="2"/>
        <scheme val="minor"/>
      </rPr>
      <t>Normaal tarief</t>
    </r>
  </si>
  <si>
    <t>terug laag</t>
  </si>
  <si>
    <t>terug normaal</t>
  </si>
  <si>
    <t>Gas</t>
  </si>
  <si>
    <t>Water</t>
  </si>
  <si>
    <t>Datum</t>
  </si>
  <si>
    <t>E. Totaal</t>
  </si>
  <si>
    <t>Elektr. 1</t>
  </si>
  <si>
    <t>Elektr. 2</t>
  </si>
  <si>
    <t>Nieuwe slimme meter geplaatst</t>
  </si>
  <si>
    <t>10/10: Spouwmuren geïsoleerd</t>
  </si>
  <si>
    <t>6/12: Toilet verwarming aangesloten (Elektrisch)</t>
  </si>
  <si>
    <t>Nieuwe kunstofkozijnen geplaatst</t>
  </si>
  <si>
    <t>Nieuwe meter geplaatst - 3 fasen</t>
  </si>
  <si>
    <t>Nieuwe CV ketel geplaatst</t>
  </si>
  <si>
    <t>Gaskookplaat vervangen door inductie</t>
  </si>
  <si>
    <t>Nieuwe watermeter geplaatst</t>
  </si>
  <si>
    <t>Jaar</t>
  </si>
  <si>
    <t>Elektra Laag</t>
  </si>
  <si>
    <t>Elektra Hoog</t>
  </si>
  <si>
    <t>Elektra totaal</t>
  </si>
  <si>
    <t>Terug hoog</t>
  </si>
  <si>
    <t>terug totaal</t>
  </si>
  <si>
    <t>Elektra Totaal</t>
  </si>
  <si>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</si>
  <si>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</si>
  <si>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</si>
  <si>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</si>
  <si>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</si>
  <si>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</si>
  <si>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</si>
  <si>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</si>
  <si>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</si>
  <si>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</si>
  <si>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</si>
  <si>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</si>
  <si>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GAS</t>
  </si>
  <si>
    <t>Opdracht:</t>
  </si>
  <si>
    <t>Dit Excel overzicht bevat een verzameling meterstanden van Gas, Water en Elektra verbruik.</t>
  </si>
  <si>
    <t>Bekijk de verschillende werkbladen. </t>
  </si>
  <si>
    <t>Inmiddels is er een jaar aan data bij.</t>
  </si>
  <si>
    <t>Filter de gegevens zodanig dat je alleen de jaren 2020 en 2024 laat zien.</t>
  </si>
  <si>
    <r>
      <t xml:space="preserve">Maak de verschillende grafieken van de werkbladen </t>
    </r>
    <r>
      <rPr>
        <i/>
        <sz val="14"/>
        <color theme="1"/>
        <rFont val="Calibri"/>
        <family val="2"/>
        <scheme val="minor"/>
      </rPr>
      <t>Jaarverbruik, Grafiek Elektra, Grafiek Gas en Grafiek Water</t>
    </r>
    <r>
      <rPr>
        <sz val="14"/>
        <color theme="1"/>
        <rFont val="Calibri"/>
        <family val="2"/>
        <scheme val="minor"/>
      </rPr>
      <t xml:space="preserve"> na. Maak deze op eigen nieuwe werkbladen. (Laat de originele werkbladen staan.)</t>
    </r>
  </si>
  <si>
    <r>
      <t xml:space="preserve">Voeg aan de grafieken een </t>
    </r>
    <r>
      <rPr>
        <b/>
        <sz val="14"/>
        <color theme="1"/>
        <rFont val="Calibri"/>
        <family val="2"/>
        <scheme val="minor"/>
      </rPr>
      <t>trendlijn</t>
    </r>
    <r>
      <rPr>
        <sz val="14"/>
        <color theme="1"/>
        <rFont val="Calibri"/>
        <family val="2"/>
        <scheme val="minor"/>
      </rPr>
      <t xml:space="preserve"> toe.</t>
    </r>
  </si>
  <si>
    <t>Op het werkblad Meterstanden staat alle data. Op de andere werkbladen wordt hier naar verwezen.</t>
  </si>
  <si>
    <t>Pas alle bestaande data en grafieken aan zodat ook het laatste jaar zichtbaar is in de grafieken.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</si>
</sst>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3]mmm/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5.4"/>
      <color rgb="FF33333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15" fontId="0" fillId="0" borderId="0" xfId="0" applyNumberFormat="1"/>
    <xf numFmtId="0" fontId="0" fillId="6" borderId="0" xfId="0" applyFill="1"/>
    <xf numFmtId="164" fontId="0" fillId="0" borderId="0" xfId="0" applyNumberFormat="1"/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5" fontId="6" fillId="0" borderId="0" xfId="0" applyNumberFormat="1" applyFont="1"/>
    <xf numFmtId="0" fontId="1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8" borderId="0" xfId="0" applyFill="1"/>
    <xf numFmtId="0" fontId="2" fillId="6" borderId="0" xfId="0" applyFont="1" applyFill="1"/>
    <xf numFmtId="0" fontId="6" fillId="0" borderId="0" xfId="0" applyFont="1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0" fillId="3" borderId="0" xfId="0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0" fontId="1" fillId="10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10" borderId="0" xfId="0" applyFill="1" applyAlignment="1">
      <alignment horizontal="center" vertical="center" wrapText="1"/>
    </xf>
    <xf numFmtId="0" fontId="6" fillId="10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2"/>
    </xf>
    <xf numFmtId="0" fontId="14" fillId="0" borderId="0" xfId="0" applyFont="1" applyAlignment="1">
      <alignment vertical="center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0565D"/>
      <color rgb="FFFFFF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alcChain" Target="calcChain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Jaarverbuik!$D$1</c:f>
              <c:strCache>
                <c:ptCount val="1"/>
                <c:pt idx="0">
                  <c:v>Elektra totaal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Jaarverbuik!$A$2:$A$11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Jaarverbuik!$D$2:$D$11</c:f>
              <c:numCache>
                <c:formatCode>General</c:formatCode>
                <c:ptCount val="10"/>
                <c:pt idx="0">
                  <c:v>3509</c:v>
                </c:pt>
                <c:pt idx="1">
                  <c:v>3544</c:v>
                </c:pt>
                <c:pt idx="2">
                  <c:v>3369</c:v>
                </c:pt>
                <c:pt idx="3">
                  <c:v>2899</c:v>
                </c:pt>
                <c:pt idx="4">
                  <c:v>3330</c:v>
                </c:pt>
                <c:pt idx="5">
                  <c:v>3417</c:v>
                </c:pt>
                <c:pt idx="6">
                  <c:v>3571</c:v>
                </c:pt>
                <c:pt idx="7">
                  <c:v>3754</c:v>
                </c:pt>
                <c:pt idx="8">
                  <c:v>3532</c:v>
                </c:pt>
                <c:pt idx="9">
                  <c:v>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7-4244-8517-047C8CD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181152"/>
        <c:axId val="1231191968"/>
      </c:barChart>
      <c:catAx>
        <c:axId val="123118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91968"/>
        <c:crosses val="autoZero"/>
        <c:auto val="1"/>
        <c:lblAlgn val="ctr"/>
        <c:lblOffset val="100"/>
        <c:noMultiLvlLbl val="0"/>
      </c:catAx>
      <c:valAx>
        <c:axId val="12311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8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Jaarverbuik!$E$1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Jaarverbuik!$A$2:$A$11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Jaarverbuik!$E$2:$E$11</c:f>
              <c:numCache>
                <c:formatCode>General</c:formatCode>
                <c:ptCount val="10"/>
                <c:pt idx="0">
                  <c:v>1090</c:v>
                </c:pt>
                <c:pt idx="1">
                  <c:v>1225</c:v>
                </c:pt>
                <c:pt idx="2">
                  <c:v>1294</c:v>
                </c:pt>
                <c:pt idx="3">
                  <c:v>1335</c:v>
                </c:pt>
                <c:pt idx="4">
                  <c:v>1161</c:v>
                </c:pt>
                <c:pt idx="5">
                  <c:v>1316</c:v>
                </c:pt>
                <c:pt idx="6">
                  <c:v>1266</c:v>
                </c:pt>
                <c:pt idx="7">
                  <c:v>988</c:v>
                </c:pt>
                <c:pt idx="8">
                  <c:v>557</c:v>
                </c:pt>
                <c:pt idx="9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3-4200-81C6-11DD751BA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960112"/>
        <c:axId val="390955952"/>
      </c:barChart>
      <c:catAx>
        <c:axId val="39096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55952"/>
        <c:crosses val="autoZero"/>
        <c:auto val="1"/>
        <c:lblAlgn val="ctr"/>
        <c:lblOffset val="100"/>
        <c:noMultiLvlLbl val="0"/>
      </c:catAx>
      <c:valAx>
        <c:axId val="3909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6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Jaarverbuik!$F$1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Jaarverbuik!$A$2:$A$11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Jaarverbuik!$F$2:$F$11</c:f>
              <c:numCache>
                <c:formatCode>General</c:formatCode>
                <c:ptCount val="10"/>
                <c:pt idx="0">
                  <c:v>145</c:v>
                </c:pt>
                <c:pt idx="1">
                  <c:v>140</c:v>
                </c:pt>
                <c:pt idx="2">
                  <c:v>171</c:v>
                </c:pt>
                <c:pt idx="3">
                  <c:v>109</c:v>
                </c:pt>
                <c:pt idx="4">
                  <c:v>86</c:v>
                </c:pt>
                <c:pt idx="5">
                  <c:v>97</c:v>
                </c:pt>
                <c:pt idx="6">
                  <c:v>112</c:v>
                </c:pt>
                <c:pt idx="7">
                  <c:v>107</c:v>
                </c:pt>
                <c:pt idx="8">
                  <c:v>92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5-4029-B436-2F80B89EC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743296"/>
        <c:axId val="1893746208"/>
      </c:barChart>
      <c:catAx>
        <c:axId val="189374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46208"/>
        <c:crosses val="autoZero"/>
        <c:auto val="1"/>
        <c:lblAlgn val="ctr"/>
        <c:lblOffset val="100"/>
        <c:noMultiLvlLbl val="0"/>
      </c:catAx>
      <c:valAx>
        <c:axId val="189374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4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Elektra terug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Jaarverbuik!$I$1</c:f>
              <c:strCache>
                <c:ptCount val="1"/>
                <c:pt idx="0">
                  <c:v>terug totaal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Jaarverbuik!$A$2:$A$11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Jaarverbuik!$I$2:$I$11</c:f>
              <c:numCache>
                <c:formatCode>General</c:formatCode>
                <c:ptCount val="10"/>
                <c:pt idx="9">
                  <c:v>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1-4A76-9372-F5CCFC2B4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960112"/>
        <c:axId val="390955952"/>
      </c:barChart>
      <c:catAx>
        <c:axId val="39096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55952"/>
        <c:crosses val="autoZero"/>
        <c:auto val="1"/>
        <c:lblAlgn val="ctr"/>
        <c:lblOffset val="100"/>
        <c:noMultiLvlLbl val="0"/>
      </c:catAx>
      <c:valAx>
        <c:axId val="3909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6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Elektra totaal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Jaarverbuik!$D$1</c:f>
              <c:strCache>
                <c:ptCount val="1"/>
                <c:pt idx="0">
                  <c:v>Elektra totaal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Jaarverbuik!$A$2:$A$11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Jaarverbuik!$D$2:$D$11</c:f>
              <c:numCache>
                <c:formatCode>General</c:formatCode>
                <c:ptCount val="10"/>
                <c:pt idx="0">
                  <c:v>3509</c:v>
                </c:pt>
                <c:pt idx="1">
                  <c:v>3544</c:v>
                </c:pt>
                <c:pt idx="2">
                  <c:v>3369</c:v>
                </c:pt>
                <c:pt idx="3">
                  <c:v>2899</c:v>
                </c:pt>
                <c:pt idx="4">
                  <c:v>3330</c:v>
                </c:pt>
                <c:pt idx="5">
                  <c:v>3417</c:v>
                </c:pt>
                <c:pt idx="6">
                  <c:v>3571</c:v>
                </c:pt>
                <c:pt idx="7">
                  <c:v>3754</c:v>
                </c:pt>
                <c:pt idx="8">
                  <c:v>3532</c:v>
                </c:pt>
                <c:pt idx="9">
                  <c:v>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4-4A20-98A2-23FE39DC0F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9524416"/>
        <c:axId val="1259520096"/>
      </c:barChart>
      <c:catAx>
        <c:axId val="125952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59520096"/>
        <c:crosses val="autoZero"/>
        <c:auto val="1"/>
        <c:lblAlgn val="ctr"/>
        <c:lblOffset val="100"/>
        <c:noMultiLvlLbl val="0"/>
      </c:catAx>
      <c:valAx>
        <c:axId val="125952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5952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Jaarverbuik!$I$1</c:f>
              <c:strCache>
                <c:ptCount val="1"/>
                <c:pt idx="0">
                  <c:v>terug totaal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Jaarverbuik!$A$2:$A$11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Jaarverbuik!$I$2:$I$11</c:f>
              <c:numCache>
                <c:formatCode>General</c:formatCode>
                <c:ptCount val="10"/>
                <c:pt idx="9">
                  <c:v>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6-49A0-8AA9-FFFCD2B392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4738704"/>
        <c:axId val="1104728144"/>
      </c:barChart>
      <c:catAx>
        <c:axId val="110473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4728144"/>
        <c:crosses val="autoZero"/>
        <c:auto val="1"/>
        <c:lblAlgn val="ctr"/>
        <c:lblOffset val="100"/>
        <c:noMultiLvlLbl val="0"/>
      </c:catAx>
      <c:valAx>
        <c:axId val="110472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473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'Vergelijking per maand'!$B$2</c:f>
              <c:strCache>
                <c:ptCount val="1"/>
                <c:pt idx="0">
                  <c:v>2014</c:v>
                </c:pt>
              </c:strCache>
            </c:strRef>
          </c:tx>
          <c:spPr>
            <a:ln w="3175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maand'!$A$3:$A$14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maand'!$B$3:$B$14</c:f>
              <c:numCache>
                <c:formatCode>General</c:formatCode>
                <c:ptCount val="12"/>
                <c:pt idx="0">
                  <c:v>267</c:v>
                </c:pt>
                <c:pt idx="1">
                  <c:v>272</c:v>
                </c:pt>
                <c:pt idx="2">
                  <c:v>355</c:v>
                </c:pt>
                <c:pt idx="3">
                  <c:v>184</c:v>
                </c:pt>
                <c:pt idx="4">
                  <c:v>282</c:v>
                </c:pt>
                <c:pt idx="5">
                  <c:v>282</c:v>
                </c:pt>
                <c:pt idx="6">
                  <c:v>282</c:v>
                </c:pt>
                <c:pt idx="7">
                  <c:v>304</c:v>
                </c:pt>
                <c:pt idx="8">
                  <c:v>273</c:v>
                </c:pt>
                <c:pt idx="9">
                  <c:v>304</c:v>
                </c:pt>
                <c:pt idx="10">
                  <c:v>355</c:v>
                </c:pt>
                <c:pt idx="11">
                  <c:v>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3-470A-ABCA-A675690530E0}"/>
            </c:ext>
          </c:extLst>
        </c:ser>
        <c:ser>
          <c:idx val="1"/>
          <c:order val="1"/>
          <c:tx>
            <c:strRef>
              <c:f>'Vergelijking per maand'!$C$2</c:f>
              <c:strCache>
                <c:ptCount val="1"/>
                <c:pt idx="0">
                  <c:v>2015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maand'!$A$3:$A$14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maand'!$C$3:$C$14</c:f>
              <c:numCache>
                <c:formatCode>General</c:formatCode>
                <c:ptCount val="12"/>
                <c:pt idx="0">
                  <c:v>335</c:v>
                </c:pt>
                <c:pt idx="1">
                  <c:v>269</c:v>
                </c:pt>
                <c:pt idx="2">
                  <c:v>302</c:v>
                </c:pt>
                <c:pt idx="3">
                  <c:v>272</c:v>
                </c:pt>
                <c:pt idx="4">
                  <c:v>305</c:v>
                </c:pt>
                <c:pt idx="5">
                  <c:v>290</c:v>
                </c:pt>
                <c:pt idx="6">
                  <c:v>209</c:v>
                </c:pt>
                <c:pt idx="7">
                  <c:v>293</c:v>
                </c:pt>
                <c:pt idx="8">
                  <c:v>293</c:v>
                </c:pt>
                <c:pt idx="9">
                  <c:v>304</c:v>
                </c:pt>
                <c:pt idx="10">
                  <c:v>303</c:v>
                </c:pt>
                <c:pt idx="11">
                  <c:v>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3-470A-ABCA-A675690530E0}"/>
            </c:ext>
          </c:extLst>
        </c:ser>
        <c:ser>
          <c:idx val="2"/>
          <c:order val="2"/>
          <c:tx>
            <c:strRef>
              <c:f>'Vergelijking per maand'!$D$2</c:f>
              <c:strCache>
                <c:ptCount val="1"/>
                <c:pt idx="0">
                  <c:v>2016</c:v>
                </c:pt>
              </c:strCache>
            </c:strRef>
          </c:tx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maand'!$A$3:$A$14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maand'!$D$3:$D$14</c:f>
              <c:numCache>
                <c:formatCode>General</c:formatCode>
                <c:ptCount val="12"/>
                <c:pt idx="0">
                  <c:v>317</c:v>
                </c:pt>
                <c:pt idx="1">
                  <c:v>274</c:v>
                </c:pt>
                <c:pt idx="2">
                  <c:v>268</c:v>
                </c:pt>
                <c:pt idx="3">
                  <c:v>265</c:v>
                </c:pt>
                <c:pt idx="4">
                  <c:v>271</c:v>
                </c:pt>
                <c:pt idx="5">
                  <c:v>260</c:v>
                </c:pt>
                <c:pt idx="6">
                  <c:v>254</c:v>
                </c:pt>
                <c:pt idx="7">
                  <c:v>305</c:v>
                </c:pt>
                <c:pt idx="8">
                  <c:v>280</c:v>
                </c:pt>
                <c:pt idx="9">
                  <c:v>275</c:v>
                </c:pt>
                <c:pt idx="10">
                  <c:v>283</c:v>
                </c:pt>
                <c:pt idx="11">
                  <c:v>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C3-470A-ABCA-A675690530E0}"/>
            </c:ext>
          </c:extLst>
        </c:ser>
        <c:ser>
          <c:idx val="3"/>
          <c:order val="3"/>
          <c:tx>
            <c:strRef>
              <c:f>'Vergelijking per maand'!$E$2</c:f>
              <c:strCache>
                <c:ptCount val="1"/>
                <c:pt idx="0">
                  <c:v>2017</c:v>
                </c:pt>
              </c:strCache>
            </c:strRef>
          </c:tx>
          <c:spPr>
            <a:ln w="31750" cap="rnd">
              <a:solidFill>
                <a:schemeClr val="accent4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maand'!$A$3:$A$14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maand'!$E$3:$E$14</c:f>
              <c:numCache>
                <c:formatCode>General</c:formatCode>
                <c:ptCount val="12"/>
                <c:pt idx="0">
                  <c:v>269</c:v>
                </c:pt>
                <c:pt idx="1">
                  <c:v>276</c:v>
                </c:pt>
                <c:pt idx="2">
                  <c:v>273</c:v>
                </c:pt>
                <c:pt idx="3">
                  <c:v>256</c:v>
                </c:pt>
                <c:pt idx="4">
                  <c:v>247</c:v>
                </c:pt>
                <c:pt idx="5">
                  <c:v>111</c:v>
                </c:pt>
                <c:pt idx="6">
                  <c:v>216</c:v>
                </c:pt>
                <c:pt idx="7">
                  <c:v>228</c:v>
                </c:pt>
                <c:pt idx="8">
                  <c:v>230</c:v>
                </c:pt>
                <c:pt idx="9">
                  <c:v>238</c:v>
                </c:pt>
                <c:pt idx="10">
                  <c:v>248</c:v>
                </c:pt>
                <c:pt idx="11">
                  <c:v>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C3-470A-ABCA-A675690530E0}"/>
            </c:ext>
          </c:extLst>
        </c:ser>
        <c:ser>
          <c:idx val="4"/>
          <c:order val="4"/>
          <c:tx>
            <c:strRef>
              <c:f>'Vergelijking per maand'!$F$2</c:f>
              <c:strCache>
                <c:ptCount val="1"/>
                <c:pt idx="0">
                  <c:v>2018</c:v>
                </c:pt>
              </c:strCache>
            </c:strRef>
          </c:tx>
          <c:spPr>
            <a:ln w="31750" cap="rnd">
              <a:solidFill>
                <a:schemeClr val="accent5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maand'!$A$3:$A$14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maand'!$F$3:$F$14</c:f>
              <c:numCache>
                <c:formatCode>General</c:formatCode>
                <c:ptCount val="12"/>
                <c:pt idx="0">
                  <c:v>292</c:v>
                </c:pt>
                <c:pt idx="1">
                  <c:v>290</c:v>
                </c:pt>
                <c:pt idx="2">
                  <c:v>317</c:v>
                </c:pt>
                <c:pt idx="3">
                  <c:v>254</c:v>
                </c:pt>
                <c:pt idx="4">
                  <c:v>236</c:v>
                </c:pt>
                <c:pt idx="5">
                  <c:v>258</c:v>
                </c:pt>
                <c:pt idx="6">
                  <c:v>218</c:v>
                </c:pt>
                <c:pt idx="7">
                  <c:v>220</c:v>
                </c:pt>
                <c:pt idx="8">
                  <c:v>266</c:v>
                </c:pt>
                <c:pt idx="9">
                  <c:v>269</c:v>
                </c:pt>
                <c:pt idx="10">
                  <c:v>331</c:v>
                </c:pt>
                <c:pt idx="11">
                  <c:v>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C3-470A-ABCA-A675690530E0}"/>
            </c:ext>
          </c:extLst>
        </c:ser>
        <c:ser>
          <c:idx val="5"/>
          <c:order val="5"/>
          <c:tx>
            <c:strRef>
              <c:f>'Vergelijking per maand'!$G$2</c:f>
              <c:strCache>
                <c:ptCount val="1"/>
                <c:pt idx="0">
                  <c:v>2019</c:v>
                </c:pt>
              </c:strCache>
            </c:strRef>
          </c:tx>
          <c:spPr>
            <a:ln w="31750" cap="rnd">
              <a:solidFill>
                <a:schemeClr val="accent6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maand'!$A$3:$A$14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maand'!$G$3:$G$14</c:f>
              <c:numCache>
                <c:formatCode>General</c:formatCode>
                <c:ptCount val="12"/>
                <c:pt idx="0">
                  <c:v>343</c:v>
                </c:pt>
                <c:pt idx="1">
                  <c:v>303</c:v>
                </c:pt>
                <c:pt idx="2">
                  <c:v>336</c:v>
                </c:pt>
                <c:pt idx="3">
                  <c:v>260</c:v>
                </c:pt>
                <c:pt idx="4">
                  <c:v>240</c:v>
                </c:pt>
                <c:pt idx="5">
                  <c:v>241</c:v>
                </c:pt>
                <c:pt idx="6">
                  <c:v>258</c:v>
                </c:pt>
                <c:pt idx="7">
                  <c:v>224</c:v>
                </c:pt>
                <c:pt idx="8">
                  <c:v>225</c:v>
                </c:pt>
                <c:pt idx="9">
                  <c:v>251</c:v>
                </c:pt>
                <c:pt idx="10">
                  <c:v>324</c:v>
                </c:pt>
                <c:pt idx="11">
                  <c:v>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C3-470A-ABCA-A675690530E0}"/>
            </c:ext>
          </c:extLst>
        </c:ser>
        <c:ser>
          <c:idx val="6"/>
          <c:order val="6"/>
          <c:tx>
            <c:strRef>
              <c:f>'Vergelijking per maand'!$H$2</c:f>
              <c:strCache>
                <c:ptCount val="1"/>
                <c:pt idx="0">
                  <c:v>2020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maand'!$A$3:$A$14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maand'!$H$3:$H$14</c:f>
              <c:numCache>
                <c:formatCode>General</c:formatCode>
                <c:ptCount val="12"/>
                <c:pt idx="0">
                  <c:v>353</c:v>
                </c:pt>
                <c:pt idx="1">
                  <c:v>373</c:v>
                </c:pt>
                <c:pt idx="2">
                  <c:v>314</c:v>
                </c:pt>
                <c:pt idx="3">
                  <c:v>243</c:v>
                </c:pt>
                <c:pt idx="4">
                  <c:v>250</c:v>
                </c:pt>
                <c:pt idx="5">
                  <c:v>232</c:v>
                </c:pt>
                <c:pt idx="6">
                  <c:v>239</c:v>
                </c:pt>
                <c:pt idx="7">
                  <c:v>258</c:v>
                </c:pt>
                <c:pt idx="8">
                  <c:v>231</c:v>
                </c:pt>
                <c:pt idx="9">
                  <c:v>316</c:v>
                </c:pt>
                <c:pt idx="10">
                  <c:v>359</c:v>
                </c:pt>
                <c:pt idx="11">
                  <c:v>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C3-470A-ABCA-A675690530E0}"/>
            </c:ext>
          </c:extLst>
        </c:ser>
        <c:ser>
          <c:idx val="7"/>
          <c:order val="7"/>
          <c:tx>
            <c:strRef>
              <c:f>'Vergelijking per maand'!$I$2</c:f>
              <c:strCache>
                <c:ptCount val="1"/>
                <c:pt idx="0">
                  <c:v>2021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lumMod val="60000"/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maand'!$A$3:$A$14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maand'!$I$3:$I$14</c:f>
              <c:numCache>
                <c:formatCode>General</c:formatCode>
                <c:ptCount val="12"/>
                <c:pt idx="0">
                  <c:v>199</c:v>
                </c:pt>
                <c:pt idx="1">
                  <c:v>363</c:v>
                </c:pt>
                <c:pt idx="2">
                  <c:v>363</c:v>
                </c:pt>
                <c:pt idx="3">
                  <c:v>363</c:v>
                </c:pt>
                <c:pt idx="4">
                  <c:v>363</c:v>
                </c:pt>
                <c:pt idx="5">
                  <c:v>230</c:v>
                </c:pt>
                <c:pt idx="6">
                  <c:v>211</c:v>
                </c:pt>
                <c:pt idx="7">
                  <c:v>241</c:v>
                </c:pt>
                <c:pt idx="8">
                  <c:v>254</c:v>
                </c:pt>
                <c:pt idx="9">
                  <c:v>336</c:v>
                </c:pt>
                <c:pt idx="10">
                  <c:v>374</c:v>
                </c:pt>
                <c:pt idx="11">
                  <c:v>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C3-470A-ABCA-A675690530E0}"/>
            </c:ext>
          </c:extLst>
        </c:ser>
        <c:ser>
          <c:idx val="8"/>
          <c:order val="8"/>
          <c:tx>
            <c:strRef>
              <c:f>'Vergelijking per maand'!$J$2</c:f>
              <c:strCache>
                <c:ptCount val="1"/>
                <c:pt idx="0">
                  <c:v>2022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60000"/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maand'!$A$3:$A$14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maand'!$J$3:$J$14</c:f>
              <c:numCache>
                <c:formatCode>General</c:formatCode>
                <c:ptCount val="12"/>
                <c:pt idx="0">
                  <c:v>430</c:v>
                </c:pt>
                <c:pt idx="1">
                  <c:v>373</c:v>
                </c:pt>
                <c:pt idx="2">
                  <c:v>317</c:v>
                </c:pt>
                <c:pt idx="3">
                  <c:v>341</c:v>
                </c:pt>
                <c:pt idx="4">
                  <c:v>234</c:v>
                </c:pt>
                <c:pt idx="5">
                  <c:v>266</c:v>
                </c:pt>
                <c:pt idx="6">
                  <c:v>235</c:v>
                </c:pt>
                <c:pt idx="7">
                  <c:v>226</c:v>
                </c:pt>
                <c:pt idx="8">
                  <c:v>219</c:v>
                </c:pt>
                <c:pt idx="9">
                  <c:v>264</c:v>
                </c:pt>
                <c:pt idx="10">
                  <c:v>287</c:v>
                </c:pt>
                <c:pt idx="11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C3-470A-ABCA-A675690530E0}"/>
            </c:ext>
          </c:extLst>
        </c:ser>
        <c:ser>
          <c:idx val="9"/>
          <c:order val="9"/>
          <c:tx>
            <c:strRef>
              <c:f>'Vergelijking per maand'!$K$2</c:f>
              <c:strCache>
                <c:ptCount val="1"/>
                <c:pt idx="0">
                  <c:v>2023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lumMod val="60000"/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maand'!$A$3:$A$14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maand'!$K$3:$K$14</c:f>
              <c:numCache>
                <c:formatCode>General</c:formatCode>
                <c:ptCount val="12"/>
                <c:pt idx="0">
                  <c:v>362</c:v>
                </c:pt>
                <c:pt idx="1">
                  <c:v>298</c:v>
                </c:pt>
                <c:pt idx="2">
                  <c:v>319</c:v>
                </c:pt>
                <c:pt idx="3">
                  <c:v>261</c:v>
                </c:pt>
                <c:pt idx="4">
                  <c:v>214</c:v>
                </c:pt>
                <c:pt idx="5">
                  <c:v>147</c:v>
                </c:pt>
                <c:pt idx="6">
                  <c:v>64</c:v>
                </c:pt>
                <c:pt idx="7">
                  <c:v>114</c:v>
                </c:pt>
                <c:pt idx="8">
                  <c:v>120</c:v>
                </c:pt>
                <c:pt idx="9">
                  <c:v>200</c:v>
                </c:pt>
                <c:pt idx="10">
                  <c:v>271</c:v>
                </c:pt>
                <c:pt idx="11">
                  <c:v>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C-4B9B-B9F8-5767F6F231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15108223"/>
        <c:axId val="1615108639"/>
      </c:lineChart>
      <c:catAx>
        <c:axId val="161510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08639"/>
        <c:crosses val="autoZero"/>
        <c:auto val="1"/>
        <c:lblAlgn val="ctr"/>
        <c:lblOffset val="100"/>
        <c:noMultiLvlLbl val="0"/>
      </c:catAx>
      <c:valAx>
        <c:axId val="16151086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1510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'Vergelijking per maand'!$B$16:$B$17</c:f>
              <c:strCache>
                <c:ptCount val="2"/>
                <c:pt idx="0">
                  <c:v>GAS</c:v>
                </c:pt>
                <c:pt idx="1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'Vergelijking per maand'!$A$18:$A$29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maand'!$B$18:$B$29</c:f>
              <c:numCache>
                <c:formatCode>General</c:formatCode>
                <c:ptCount val="12"/>
                <c:pt idx="0">
                  <c:v>226</c:v>
                </c:pt>
                <c:pt idx="1">
                  <c:v>161</c:v>
                </c:pt>
                <c:pt idx="2">
                  <c:v>117</c:v>
                </c:pt>
                <c:pt idx="3">
                  <c:v>47</c:v>
                </c:pt>
                <c:pt idx="4">
                  <c:v>38</c:v>
                </c:pt>
                <c:pt idx="5">
                  <c:v>35</c:v>
                </c:pt>
                <c:pt idx="6">
                  <c:v>28</c:v>
                </c:pt>
                <c:pt idx="7">
                  <c:v>26</c:v>
                </c:pt>
                <c:pt idx="8">
                  <c:v>27</c:v>
                </c:pt>
                <c:pt idx="9">
                  <c:v>46</c:v>
                </c:pt>
                <c:pt idx="10">
                  <c:v>199</c:v>
                </c:pt>
                <c:pt idx="1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0-46F7-839E-606CDDDE2AD7}"/>
            </c:ext>
          </c:extLst>
        </c:ser>
        <c:ser>
          <c:idx val="1"/>
          <c:order val="1"/>
          <c:tx>
            <c:strRef>
              <c:f>'Vergelijking per maand'!$C$16:$C$17</c:f>
              <c:strCache>
                <c:ptCount val="2"/>
                <c:pt idx="0">
                  <c:v>GAS</c:v>
                </c:pt>
                <c:pt idx="1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'Vergelijking per maand'!$A$18:$A$29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maand'!$C$18:$C$29</c:f>
              <c:numCache>
                <c:formatCode>General</c:formatCode>
                <c:ptCount val="12"/>
                <c:pt idx="0">
                  <c:v>288</c:v>
                </c:pt>
                <c:pt idx="1">
                  <c:v>194</c:v>
                </c:pt>
                <c:pt idx="2">
                  <c:v>199</c:v>
                </c:pt>
                <c:pt idx="3">
                  <c:v>81</c:v>
                </c:pt>
                <c:pt idx="4">
                  <c:v>50</c:v>
                </c:pt>
                <c:pt idx="5">
                  <c:v>32</c:v>
                </c:pt>
                <c:pt idx="6">
                  <c:v>18</c:v>
                </c:pt>
                <c:pt idx="7">
                  <c:v>36</c:v>
                </c:pt>
                <c:pt idx="8">
                  <c:v>37</c:v>
                </c:pt>
                <c:pt idx="9">
                  <c:v>88</c:v>
                </c:pt>
                <c:pt idx="10">
                  <c:v>95</c:v>
                </c:pt>
                <c:pt idx="11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0-46F7-839E-606CDDDE2AD7}"/>
            </c:ext>
          </c:extLst>
        </c:ser>
        <c:ser>
          <c:idx val="2"/>
          <c:order val="2"/>
          <c:tx>
            <c:strRef>
              <c:f>'Vergelijking per maand'!$D$16:$D$17</c:f>
              <c:strCache>
                <c:ptCount val="2"/>
                <c:pt idx="0">
                  <c:v>GAS</c:v>
                </c:pt>
                <c:pt idx="1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'Vergelijking per maand'!$A$18:$A$29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maand'!$D$18:$D$29</c:f>
              <c:numCache>
                <c:formatCode>General</c:formatCode>
                <c:ptCount val="12"/>
                <c:pt idx="0">
                  <c:v>220</c:v>
                </c:pt>
                <c:pt idx="1">
                  <c:v>192</c:v>
                </c:pt>
                <c:pt idx="2">
                  <c:v>175</c:v>
                </c:pt>
                <c:pt idx="3">
                  <c:v>117</c:v>
                </c:pt>
                <c:pt idx="4">
                  <c:v>48</c:v>
                </c:pt>
                <c:pt idx="5">
                  <c:v>34</c:v>
                </c:pt>
                <c:pt idx="6">
                  <c:v>25</c:v>
                </c:pt>
                <c:pt idx="7">
                  <c:v>34</c:v>
                </c:pt>
                <c:pt idx="8">
                  <c:v>29</c:v>
                </c:pt>
                <c:pt idx="9">
                  <c:v>105</c:v>
                </c:pt>
                <c:pt idx="10">
                  <c:v>155</c:v>
                </c:pt>
                <c:pt idx="11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0-46F7-839E-606CDDDE2AD7}"/>
            </c:ext>
          </c:extLst>
        </c:ser>
        <c:ser>
          <c:idx val="3"/>
          <c:order val="3"/>
          <c:tx>
            <c:strRef>
              <c:f>'Vergelijking per maand'!$E$16:$E$17</c:f>
              <c:strCache>
                <c:ptCount val="2"/>
                <c:pt idx="0">
                  <c:v>GAS</c:v>
                </c:pt>
                <c:pt idx="1">
                  <c:v>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'Vergelijking per maand'!$A$18:$A$29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maand'!$E$18:$E$29</c:f>
              <c:numCache>
                <c:formatCode>General</c:formatCode>
                <c:ptCount val="12"/>
                <c:pt idx="0">
                  <c:v>243</c:v>
                </c:pt>
                <c:pt idx="1">
                  <c:v>190</c:v>
                </c:pt>
                <c:pt idx="2">
                  <c:v>160</c:v>
                </c:pt>
                <c:pt idx="3">
                  <c:v>134</c:v>
                </c:pt>
                <c:pt idx="4">
                  <c:v>46</c:v>
                </c:pt>
                <c:pt idx="5">
                  <c:v>8</c:v>
                </c:pt>
                <c:pt idx="6">
                  <c:v>12</c:v>
                </c:pt>
                <c:pt idx="7">
                  <c:v>14</c:v>
                </c:pt>
                <c:pt idx="8">
                  <c:v>43</c:v>
                </c:pt>
                <c:pt idx="9">
                  <c:v>108</c:v>
                </c:pt>
                <c:pt idx="10">
                  <c:v>185</c:v>
                </c:pt>
                <c:pt idx="11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30-46F7-839E-606CDDDE2AD7}"/>
            </c:ext>
          </c:extLst>
        </c:ser>
        <c:ser>
          <c:idx val="4"/>
          <c:order val="4"/>
          <c:tx>
            <c:strRef>
              <c:f>'Vergelijking per maand'!$F$16:$F$17</c:f>
              <c:strCache>
                <c:ptCount val="2"/>
                <c:pt idx="0">
                  <c:v>GAS</c:v>
                </c:pt>
                <c:pt idx="1">
                  <c:v>2018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'Vergelijking per maand'!$A$18:$A$29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maand'!$F$18:$F$29</c:f>
              <c:numCache>
                <c:formatCode>General</c:formatCode>
                <c:ptCount val="12"/>
                <c:pt idx="0">
                  <c:v>243</c:v>
                </c:pt>
                <c:pt idx="1">
                  <c:v>190</c:v>
                </c:pt>
                <c:pt idx="2">
                  <c:v>160</c:v>
                </c:pt>
                <c:pt idx="3">
                  <c:v>134</c:v>
                </c:pt>
                <c:pt idx="4">
                  <c:v>46</c:v>
                </c:pt>
                <c:pt idx="5">
                  <c:v>8</c:v>
                </c:pt>
                <c:pt idx="6">
                  <c:v>12</c:v>
                </c:pt>
                <c:pt idx="7">
                  <c:v>14</c:v>
                </c:pt>
                <c:pt idx="8">
                  <c:v>43</c:v>
                </c:pt>
                <c:pt idx="9">
                  <c:v>108</c:v>
                </c:pt>
                <c:pt idx="10">
                  <c:v>185</c:v>
                </c:pt>
                <c:pt idx="11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30-46F7-839E-606CDDDE2AD7}"/>
            </c:ext>
          </c:extLst>
        </c:ser>
        <c:ser>
          <c:idx val="5"/>
          <c:order val="5"/>
          <c:tx>
            <c:strRef>
              <c:f>'Vergelijking per maand'!$G$16:$G$17</c:f>
              <c:strCache>
                <c:ptCount val="2"/>
                <c:pt idx="0">
                  <c:v>GAS</c:v>
                </c:pt>
                <c:pt idx="1">
                  <c:v>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'Vergelijking per maand'!$A$18:$A$29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maand'!$G$18:$G$29</c:f>
              <c:numCache>
                <c:formatCode>General</c:formatCode>
                <c:ptCount val="12"/>
                <c:pt idx="0">
                  <c:v>263</c:v>
                </c:pt>
                <c:pt idx="1">
                  <c:v>163</c:v>
                </c:pt>
                <c:pt idx="2">
                  <c:v>150</c:v>
                </c:pt>
                <c:pt idx="3">
                  <c:v>98</c:v>
                </c:pt>
                <c:pt idx="4">
                  <c:v>51</c:v>
                </c:pt>
                <c:pt idx="5">
                  <c:v>52</c:v>
                </c:pt>
                <c:pt idx="6">
                  <c:v>21</c:v>
                </c:pt>
                <c:pt idx="7">
                  <c:v>31</c:v>
                </c:pt>
                <c:pt idx="8">
                  <c:v>32</c:v>
                </c:pt>
                <c:pt idx="9">
                  <c:v>106</c:v>
                </c:pt>
                <c:pt idx="10">
                  <c:v>167</c:v>
                </c:pt>
                <c:pt idx="11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30-46F7-839E-606CDDDE2AD7}"/>
            </c:ext>
          </c:extLst>
        </c:ser>
        <c:ser>
          <c:idx val="6"/>
          <c:order val="6"/>
          <c:tx>
            <c:strRef>
              <c:f>'Vergelijking per maand'!$H$16:$H$17</c:f>
              <c:strCache>
                <c:ptCount val="2"/>
                <c:pt idx="0">
                  <c:v>GAS</c:v>
                </c:pt>
                <c:pt idx="1">
                  <c:v>2020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'Vergelijking per maand'!$A$18:$A$29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maand'!$H$18:$H$29</c:f>
              <c:numCache>
                <c:formatCode>General</c:formatCode>
                <c:ptCount val="12"/>
                <c:pt idx="0">
                  <c:v>195</c:v>
                </c:pt>
                <c:pt idx="1">
                  <c:v>218</c:v>
                </c:pt>
                <c:pt idx="2">
                  <c:v>110</c:v>
                </c:pt>
                <c:pt idx="3">
                  <c:v>73</c:v>
                </c:pt>
                <c:pt idx="4">
                  <c:v>46</c:v>
                </c:pt>
                <c:pt idx="5">
                  <c:v>23</c:v>
                </c:pt>
                <c:pt idx="6">
                  <c:v>23</c:v>
                </c:pt>
                <c:pt idx="7">
                  <c:v>27</c:v>
                </c:pt>
                <c:pt idx="8">
                  <c:v>58</c:v>
                </c:pt>
                <c:pt idx="9">
                  <c:v>124</c:v>
                </c:pt>
                <c:pt idx="10">
                  <c:v>167</c:v>
                </c:pt>
                <c:pt idx="1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30-46F7-839E-606CDDDE2AD7}"/>
            </c:ext>
          </c:extLst>
        </c:ser>
        <c:ser>
          <c:idx val="7"/>
          <c:order val="7"/>
          <c:tx>
            <c:strRef>
              <c:f>'Vergelijking per maand'!$I$16:$I$17</c:f>
              <c:strCache>
                <c:ptCount val="2"/>
                <c:pt idx="0">
                  <c:v>GAS</c:v>
                </c:pt>
                <c:pt idx="1">
                  <c:v>2021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'Vergelijking per maand'!$A$18:$A$29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maand'!$I$18:$I$29</c:f>
              <c:numCache>
                <c:formatCode>General</c:formatCode>
                <c:ptCount val="12"/>
                <c:pt idx="0">
                  <c:v>115</c:v>
                </c:pt>
                <c:pt idx="1">
                  <c:v>115</c:v>
                </c:pt>
                <c:pt idx="2">
                  <c:v>115</c:v>
                </c:pt>
                <c:pt idx="3">
                  <c:v>114</c:v>
                </c:pt>
                <c:pt idx="4">
                  <c:v>114</c:v>
                </c:pt>
                <c:pt idx="5">
                  <c:v>1</c:v>
                </c:pt>
                <c:pt idx="6">
                  <c:v>34</c:v>
                </c:pt>
                <c:pt idx="7">
                  <c:v>17</c:v>
                </c:pt>
                <c:pt idx="8">
                  <c:v>20</c:v>
                </c:pt>
                <c:pt idx="9">
                  <c:v>66</c:v>
                </c:pt>
                <c:pt idx="10">
                  <c:v>125</c:v>
                </c:pt>
                <c:pt idx="11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30-46F7-839E-606CDDDE2AD7}"/>
            </c:ext>
          </c:extLst>
        </c:ser>
        <c:ser>
          <c:idx val="8"/>
          <c:order val="8"/>
          <c:tx>
            <c:strRef>
              <c:f>'Vergelijking per maand'!$J$16:$J$17</c:f>
              <c:strCache>
                <c:ptCount val="2"/>
                <c:pt idx="0">
                  <c:v>GAS</c:v>
                </c:pt>
                <c:pt idx="1">
                  <c:v>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'Vergelijking per maand'!$A$18:$A$29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maand'!$J$18:$J$29</c:f>
              <c:numCache>
                <c:formatCode>General</c:formatCode>
                <c:ptCount val="12"/>
                <c:pt idx="0">
                  <c:v>116</c:v>
                </c:pt>
                <c:pt idx="1">
                  <c:v>122</c:v>
                </c:pt>
                <c:pt idx="2">
                  <c:v>96</c:v>
                </c:pt>
                <c:pt idx="3">
                  <c:v>66</c:v>
                </c:pt>
                <c:pt idx="4">
                  <c:v>19</c:v>
                </c:pt>
                <c:pt idx="5">
                  <c:v>10</c:v>
                </c:pt>
                <c:pt idx="6">
                  <c:v>10</c:v>
                </c:pt>
                <c:pt idx="7">
                  <c:v>14</c:v>
                </c:pt>
                <c:pt idx="8">
                  <c:v>11</c:v>
                </c:pt>
                <c:pt idx="9">
                  <c:v>12</c:v>
                </c:pt>
                <c:pt idx="10">
                  <c:v>21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30-46F7-839E-606CDDDE2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873503"/>
        <c:axId val="1609873919"/>
      </c:barChart>
      <c:catAx>
        <c:axId val="160987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873919"/>
        <c:crosses val="autoZero"/>
        <c:auto val="1"/>
        <c:lblAlgn val="ctr"/>
        <c:lblOffset val="100"/>
        <c:noMultiLvlLbl val="0"/>
      </c:catAx>
      <c:valAx>
        <c:axId val="160987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87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'Vergelijking per maand'!$B$31:$B$32</c:f>
              <c:strCache>
                <c:ptCount val="2"/>
                <c:pt idx="0">
                  <c:v>Water</c:v>
                </c:pt>
                <c:pt idx="1">
                  <c:v>2014</c:v>
                </c:pt>
              </c:strCache>
            </c:strRef>
          </c:tx>
          <c:spPr>
            <a:ln w="3175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maand'!$A$33:$A$44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maand'!$B$33:$B$44</c:f>
              <c:numCache>
                <c:formatCode>General</c:formatCode>
                <c:ptCount val="12"/>
                <c:pt idx="0">
                  <c:v>11</c:v>
                </c:pt>
                <c:pt idx="1">
                  <c:v>13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14</c:v>
                </c:pt>
                <c:pt idx="6">
                  <c:v>12</c:v>
                </c:pt>
                <c:pt idx="7">
                  <c:v>11</c:v>
                </c:pt>
                <c:pt idx="8">
                  <c:v>10</c:v>
                </c:pt>
                <c:pt idx="9">
                  <c:v>12</c:v>
                </c:pt>
                <c:pt idx="10">
                  <c:v>13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0-4092-A128-114C26CB9C95}"/>
            </c:ext>
          </c:extLst>
        </c:ser>
        <c:ser>
          <c:idx val="1"/>
          <c:order val="1"/>
          <c:tx>
            <c:strRef>
              <c:f>'Vergelijking per maand'!$C$31:$C$32</c:f>
              <c:strCache>
                <c:ptCount val="2"/>
                <c:pt idx="0">
                  <c:v>Water</c:v>
                </c:pt>
                <c:pt idx="1">
                  <c:v>2015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maand'!$A$33:$A$44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maand'!$C$33:$C$44</c:f>
              <c:numCache>
                <c:formatCode>General</c:formatCode>
                <c:ptCount val="12"/>
                <c:pt idx="0">
                  <c:v>12</c:v>
                </c:pt>
                <c:pt idx="1">
                  <c:v>10</c:v>
                </c:pt>
                <c:pt idx="2">
                  <c:v>11</c:v>
                </c:pt>
                <c:pt idx="3">
                  <c:v>10</c:v>
                </c:pt>
                <c:pt idx="4">
                  <c:v>12</c:v>
                </c:pt>
                <c:pt idx="5">
                  <c:v>12</c:v>
                </c:pt>
                <c:pt idx="6">
                  <c:v>8</c:v>
                </c:pt>
                <c:pt idx="7">
                  <c:v>12</c:v>
                </c:pt>
                <c:pt idx="8">
                  <c:v>12</c:v>
                </c:pt>
                <c:pt idx="9">
                  <c:v>14</c:v>
                </c:pt>
                <c:pt idx="10">
                  <c:v>13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20-4092-A128-114C26CB9C95}"/>
            </c:ext>
          </c:extLst>
        </c:ser>
        <c:ser>
          <c:idx val="2"/>
          <c:order val="2"/>
          <c:tx>
            <c:strRef>
              <c:f>'Vergelijking per maand'!$D$31:$D$32</c:f>
              <c:strCache>
                <c:ptCount val="2"/>
                <c:pt idx="0">
                  <c:v>Water</c:v>
                </c:pt>
                <c:pt idx="1">
                  <c:v>2016</c:v>
                </c:pt>
              </c:strCache>
            </c:strRef>
          </c:tx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maand'!$A$33:$A$44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maand'!$D$33:$D$44</c:f>
              <c:numCache>
                <c:formatCode>General</c:formatCode>
                <c:ptCount val="12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12</c:v>
                </c:pt>
                <c:pt idx="7">
                  <c:v>17</c:v>
                </c:pt>
                <c:pt idx="8">
                  <c:v>12</c:v>
                </c:pt>
                <c:pt idx="9">
                  <c:v>15</c:v>
                </c:pt>
                <c:pt idx="10">
                  <c:v>18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20-4092-A128-114C26CB9C95}"/>
            </c:ext>
          </c:extLst>
        </c:ser>
        <c:ser>
          <c:idx val="3"/>
          <c:order val="3"/>
          <c:tx>
            <c:strRef>
              <c:f>'Vergelijking per maand'!$E$31:$E$32</c:f>
              <c:strCache>
                <c:ptCount val="2"/>
                <c:pt idx="0">
                  <c:v>Water</c:v>
                </c:pt>
                <c:pt idx="1">
                  <c:v>2017</c:v>
                </c:pt>
              </c:strCache>
            </c:strRef>
          </c:tx>
          <c:spPr>
            <a:ln w="31750" cap="rnd">
              <a:solidFill>
                <a:schemeClr val="accent4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maand'!$A$33:$A$44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maand'!$E$33:$E$44</c:f>
              <c:numCache>
                <c:formatCode>General</c:formatCode>
                <c:ptCount val="12"/>
                <c:pt idx="0">
                  <c:v>13</c:v>
                </c:pt>
                <c:pt idx="1">
                  <c:v>12</c:v>
                </c:pt>
                <c:pt idx="2">
                  <c:v>14</c:v>
                </c:pt>
                <c:pt idx="3">
                  <c:v>13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20-4092-A128-114C26CB9C95}"/>
            </c:ext>
          </c:extLst>
        </c:ser>
        <c:ser>
          <c:idx val="4"/>
          <c:order val="4"/>
          <c:tx>
            <c:strRef>
              <c:f>'Vergelijking per maand'!$F$31:$F$32</c:f>
              <c:strCache>
                <c:ptCount val="2"/>
                <c:pt idx="0">
                  <c:v>Water</c:v>
                </c:pt>
                <c:pt idx="1">
                  <c:v>2018</c:v>
                </c:pt>
              </c:strCache>
            </c:strRef>
          </c:tx>
          <c:spPr>
            <a:ln w="31750" cap="rnd">
              <a:solidFill>
                <a:schemeClr val="accent5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maand'!$A$33:$A$44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maand'!$F$33:$F$44</c:f>
              <c:numCache>
                <c:formatCode>General</c:formatCode>
                <c:ptCount val="12"/>
                <c:pt idx="0">
                  <c:v>13</c:v>
                </c:pt>
                <c:pt idx="1">
                  <c:v>12</c:v>
                </c:pt>
                <c:pt idx="2">
                  <c:v>14</c:v>
                </c:pt>
                <c:pt idx="3">
                  <c:v>13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20-4092-A128-114C26CB9C95}"/>
            </c:ext>
          </c:extLst>
        </c:ser>
        <c:ser>
          <c:idx val="5"/>
          <c:order val="5"/>
          <c:tx>
            <c:strRef>
              <c:f>'Vergelijking per maand'!$G$31:$G$32</c:f>
              <c:strCache>
                <c:ptCount val="2"/>
                <c:pt idx="0">
                  <c:v>Water</c:v>
                </c:pt>
                <c:pt idx="1">
                  <c:v>2019</c:v>
                </c:pt>
              </c:strCache>
            </c:strRef>
          </c:tx>
          <c:spPr>
            <a:ln w="31750" cap="rnd">
              <a:solidFill>
                <a:schemeClr val="accent6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maand'!$A$33:$A$44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maand'!$G$33:$G$44</c:f>
              <c:numCache>
                <c:formatCode>General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11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9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20-4092-A128-114C26CB9C95}"/>
            </c:ext>
          </c:extLst>
        </c:ser>
        <c:ser>
          <c:idx val="6"/>
          <c:order val="6"/>
          <c:tx>
            <c:strRef>
              <c:f>'Vergelijking per maand'!$H$31:$H$32</c:f>
              <c:strCache>
                <c:ptCount val="2"/>
                <c:pt idx="0">
                  <c:v>Water</c:v>
                </c:pt>
                <c:pt idx="1">
                  <c:v>2020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maand'!$A$33:$A$44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maand'!$H$33:$H$44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10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20-4092-A128-114C26CB9C95}"/>
            </c:ext>
          </c:extLst>
        </c:ser>
        <c:ser>
          <c:idx val="7"/>
          <c:order val="7"/>
          <c:tx>
            <c:strRef>
              <c:f>'Vergelijking per maand'!$I$31:$I$32</c:f>
              <c:strCache>
                <c:ptCount val="2"/>
                <c:pt idx="0">
                  <c:v>Water</c:v>
                </c:pt>
                <c:pt idx="1">
                  <c:v>2021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lumMod val="60000"/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maand'!$A$33:$A$44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maand'!$I$33:$I$44</c:f>
              <c:numCache>
                <c:formatCode>General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11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20-4092-A128-114C26CB9C95}"/>
            </c:ext>
          </c:extLst>
        </c:ser>
        <c:ser>
          <c:idx val="8"/>
          <c:order val="8"/>
          <c:tx>
            <c:strRef>
              <c:f>'Vergelijking per maand'!$J$31:$J$32</c:f>
              <c:strCache>
                <c:ptCount val="2"/>
                <c:pt idx="0">
                  <c:v>Water</c:v>
                </c:pt>
                <c:pt idx="1">
                  <c:v>2022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60000"/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maand'!$A$33:$A$44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maand'!$J$33:$J$44</c:f>
              <c:numCache>
                <c:formatCode>General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6</c:v>
                </c:pt>
                <c:pt idx="9">
                  <c:v>8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20-4092-A128-114C26CB9C95}"/>
            </c:ext>
          </c:extLst>
        </c:ser>
        <c:ser>
          <c:idx val="9"/>
          <c:order val="9"/>
          <c:tx>
            <c:strRef>
              <c:f>'Vergelijking per maand'!$K$31:$K$32</c:f>
              <c:strCache>
                <c:ptCount val="2"/>
                <c:pt idx="0">
                  <c:v>Water</c:v>
                </c:pt>
                <c:pt idx="1">
                  <c:v>2023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lumMod val="60000"/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'Vergelijking per maand'!$A$33:$A$44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'Vergelijking per maand'!$K$33:$K$44</c:f>
              <c:numCache>
                <c:formatCode>General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C-496D-8FF9-A3E4A0CF4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492991"/>
        <c:axId val="1688493823"/>
      </c:lineChart>
      <c:catAx>
        <c:axId val="168849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493823"/>
        <c:crosses val="autoZero"/>
        <c:auto val="1"/>
        <c:lblAlgn val="ctr"/>
        <c:lblOffset val="100"/>
        <c:noMultiLvlLbl val="0"/>
      </c:catAx>
      <c:valAx>
        <c:axId val="16884938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8849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2F6B73-CC25-4AEC-9EC6-4F0974ADFDE8}">
  <sheetPr/>
  <sheetViews>
    <sheetView zoomScale="85" workbookViewId="0"/>
  </sheetViews>
  <sheetProtection algorithmName="SHA-512" hashValue="ALh7VNjnm9oT0fIbOQYWTp6J3BljE7V08sWrLqJC5a4bQQrOpgxu4lTTuh6t5ZaAQXKmcVmqVVjNUNo/U8RlVg==" saltValue="BM8nQI+W7KEMZpDV+p/PfA==" spinCount="100000" content="1" objects="1"/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7BBDA6-E80A-4072-A0D7-2A9006C3F119}">
  <sheetPr/>
  <sheetViews>
    <sheetView zoomScale="85" workbookViewId="0"/>
  </sheetViews>
  <sheetProtection algorithmName="SHA-512" hashValue="O2V0S/sHBwJRYPb9FgX9Xio8bLtfgJrG3PKp2WFkARvQhPrehlrMxHxqsI0ZQ7vDz1VG6gdooZtOsj1SVdz/OA==" saltValue="k6w7qZ6R9dYdjmtplLKQWg==" spinCount="100000" content="1" objects="1"/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FA94B3-87A0-45F1-888F-463EA0A01AFD}">
  <sheetPr/>
  <sheetViews>
    <sheetView workbookViewId="0" zoomToFit="1"/>
  </sheetViews>
  <sheetProtection algorithmName="SHA-512" hashValue="9tXKzGEbXUSfbWOIMkHDGOOgafIT8Sam4k71QVhw/S7d41tH+I/4HHJznNmQEV5EJpurbcmhexTB/LmLQyRcqQ==" saltValue="qh92CzsgnQ451JZyVBtyjQ==" spinCount="100000"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225425</xdr:colOff>
      <xdr:row>1</xdr:row>
      <xdr:rowOff>25400</xdr:rowOff>
    </xdr:from>
    <xdr:to>
      <xdr:col>16</xdr:col>
      <xdr:colOff>530225</xdr:colOff>
      <xdr:row>16</xdr:row>
      <xdr:rowOff>146578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2B02612C-8836-4CA3-B1BA-27DB10E57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266700</xdr:colOff>
      <xdr:row>18</xdr:row>
      <xdr:rowOff>6351</xdr:rowOff>
    </xdr:from>
    <xdr:to>
      <xdr:col>24</xdr:col>
      <xdr:colOff>571500</xdr:colOff>
      <xdr:row>32</xdr:row>
      <xdr:rowOff>162455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47D45452-3692-4068-A770-6334B61EB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211665</xdr:colOff>
      <xdr:row>18</xdr:row>
      <xdr:rowOff>25399</xdr:rowOff>
    </xdr:from>
    <xdr:to>
      <xdr:col>16</xdr:col>
      <xdr:colOff>516465</xdr:colOff>
      <xdr:row>33</xdr:row>
      <xdr:rowOff>8995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479845C3-5E14-49E0-A003-7471D1804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279399</xdr:colOff>
      <xdr:row>1</xdr:row>
      <xdr:rowOff>16933</xdr:rowOff>
    </xdr:from>
    <xdr:to>
      <xdr:col>25</xdr:col>
      <xdr:colOff>118532</xdr:colOff>
      <xdr:row>16</xdr:row>
      <xdr:rowOff>135466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B4084E5B-6857-4DED-909A-99792B5CC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152399</xdr:colOff>
      <xdr:row>36</xdr:row>
      <xdr:rowOff>25399</xdr:rowOff>
    </xdr:from>
    <xdr:to>
      <xdr:col>8</xdr:col>
      <xdr:colOff>406400</xdr:colOff>
      <xdr:row>51</xdr:row>
      <xdr:rowOff>110066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DC6B4097-CD77-68EB-F2D3-5FBE86AA4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127000</xdr:colOff>
      <xdr:row>36</xdr:row>
      <xdr:rowOff>127000</xdr:rowOff>
    </xdr:from>
    <xdr:to>
      <xdr:col>17</xdr:col>
      <xdr:colOff>431800</xdr:colOff>
      <xdr:row>51</xdr:row>
      <xdr:rowOff>76200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7969196C-7FC7-ED0B-E763-D367585EB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8471" cy="6042212"/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75AC7CC-B7F1-56DF-4748-D8E21E9529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78471" cy="6042212"/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6BC08F73-187F-79E7-01C6-4D1581C77E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79860" cy="6042837"/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C59F946-D6DB-D8F5-9B33-137BAF0089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46D4-D7F2-4D4B-B141-96A60056CEA0}">
  <dimension ref="A1:A12"/>
  <sheetViews>
    <sheetView workbookViewId="0"/>
  </sheetViews>
  <sheetFormatPr defaultRowHeight="14.4" x14ac:dyDescent="0.3"/>
  <cols>
    <col min="1" max="1" width="111" customWidth="1"/>
  </cols>
  <sheetData>
    <row r="1" spans="1:1" ht="19.8" x14ac:dyDescent="0.3">
      <c r="A1" s="70" t="s">
        <v>41</v>
      </c>
    </row>
    <row r="2" spans="1:1" ht="18" x14ac:dyDescent="0.35">
      <c r="A2" s="67" t="s">
        <v>42</v>
      </c>
    </row>
    <row r="3" spans="1:1" ht="18" x14ac:dyDescent="0.3">
      <c r="A3" s="68"/>
    </row>
    <row r="4" spans="1:1" ht="18" x14ac:dyDescent="0.3">
      <c r="A4" s="69" t="s">
        <v>43</v>
      </c>
    </row>
    <row r="5" spans="1:1" ht="18" x14ac:dyDescent="0.3">
      <c r="A5" s="69" t="s">
        <v>48</v>
      </c>
    </row>
    <row r="6" spans="1:1" ht="18" x14ac:dyDescent="0.3">
      <c r="A6" s="68"/>
    </row>
    <row r="7" spans="1:1" ht="18" x14ac:dyDescent="0.3">
      <c r="A7" s="68" t="s">
        <v>46</v>
      </c>
    </row>
    <row r="8" spans="1:1" ht="18" x14ac:dyDescent="0.3">
      <c r="A8" s="68"/>
    </row>
    <row r="9" spans="1:1" ht="18" x14ac:dyDescent="0.3">
      <c r="A9" s="68" t="s">
        <v>44</v>
      </c>
    </row>
    <row r="10" spans="1:1" ht="18" x14ac:dyDescent="0.3">
      <c r="A10" s="69" t="s">
        <v>49</v>
      </c>
    </row>
    <row r="11" spans="1:1" ht="18" x14ac:dyDescent="0.3">
      <c r="A11" s="69" t="s">
        <v>47</v>
      </c>
    </row>
    <row r="12" spans="1:1" ht="18" x14ac:dyDescent="0.3">
      <c r="A12" s="6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9582-798D-4D2B-B394-2C5D090406D1}">
  <dimension ref="A1:V160"/>
  <sheetViews>
    <sheetView zoomScale="115" zoomScaleNormal="115" workbookViewId="0">
      <pane xSplit="1" ySplit="2" topLeftCell="B140" activePane="bottomRight" state="frozen"/>
      <selection pane="topRight" activeCell="B1" sqref="B1"/>
      <selection pane="bottomLeft" activeCell="A3" sqref="A3"/>
      <selection pane="bottomRight" activeCell="I148" sqref="I148"/>
    </sheetView>
  </sheetViews>
  <sheetFormatPr defaultRowHeight="14.4" outlineLevelRow="2" outlineLevelCol="1" x14ac:dyDescent="0.3"/>
  <cols>
    <col min="1" max="1" width="10.33203125" customWidth="1"/>
    <col min="2" max="5" width="8.88671875" customWidth="1" outlineLevel="1"/>
    <col min="6" max="6" width="6.109375" bestFit="1" customWidth="1" outlineLevel="1"/>
    <col min="7" max="7" width="6" customWidth="1" outlineLevel="1"/>
    <col min="8" max="8" width="10.33203125" customWidth="1"/>
    <col min="9" max="10" width="10.33203125" customWidth="1" outlineLevel="1"/>
    <col min="11" max="11" width="9.5546875" customWidth="1" outlineLevel="1"/>
    <col min="12" max="13" width="8.88671875" customWidth="1" outlineLevel="1"/>
    <col min="14" max="15" width="7.6640625" customWidth="1" outlineLevel="1"/>
    <col min="16" max="16" width="5.33203125" customWidth="1"/>
    <col min="17" max="18" width="11.6640625" customWidth="1" outlineLevel="1"/>
    <col min="19" max="21" width="8.6640625" customWidth="1" outlineLevel="1"/>
    <col min="22" max="22" width="5.44140625" customWidth="1"/>
  </cols>
  <sheetData>
    <row r="1" spans="1:21" ht="18" x14ac:dyDescent="0.35">
      <c r="B1" s="73" t="s">
        <v>0</v>
      </c>
      <c r="C1" s="73"/>
      <c r="D1" s="73"/>
      <c r="E1" s="73"/>
      <c r="F1" s="73"/>
      <c r="G1" s="73"/>
      <c r="I1" s="73" t="s">
        <v>1</v>
      </c>
      <c r="J1" s="73"/>
      <c r="K1" s="73"/>
      <c r="L1" s="73"/>
      <c r="M1" s="73"/>
      <c r="N1" s="73"/>
      <c r="O1" s="73"/>
      <c r="Q1" s="73" t="s">
        <v>2</v>
      </c>
      <c r="R1" s="73"/>
      <c r="S1" s="73"/>
      <c r="T1" s="73"/>
      <c r="U1" s="73"/>
    </row>
    <row r="2" spans="1:21" ht="43.2" x14ac:dyDescent="0.3">
      <c r="B2" s="23" t="s">
        <v>3</v>
      </c>
      <c r="C2" s="39" t="s">
        <v>4</v>
      </c>
      <c r="D2" s="53" t="s">
        <v>5</v>
      </c>
      <c r="E2" s="50" t="s">
        <v>6</v>
      </c>
      <c r="F2" s="24" t="s">
        <v>7</v>
      </c>
      <c r="G2" s="25" t="s">
        <v>8</v>
      </c>
      <c r="H2" s="26" t="s">
        <v>9</v>
      </c>
      <c r="I2" s="23" t="s">
        <v>3</v>
      </c>
      <c r="J2" s="39" t="s">
        <v>4</v>
      </c>
      <c r="K2" s="40" t="s">
        <v>10</v>
      </c>
      <c r="L2" s="53" t="s">
        <v>5</v>
      </c>
      <c r="M2" s="50" t="s">
        <v>6</v>
      </c>
      <c r="N2" s="24" t="s">
        <v>7</v>
      </c>
      <c r="O2" s="25" t="s">
        <v>8</v>
      </c>
      <c r="P2" s="42"/>
      <c r="Q2" s="27" t="s">
        <v>11</v>
      </c>
      <c r="R2" s="28" t="s">
        <v>12</v>
      </c>
      <c r="S2" s="40" t="s">
        <v>10</v>
      </c>
      <c r="T2" s="24" t="s">
        <v>7</v>
      </c>
      <c r="U2" s="25" t="s">
        <v>8</v>
      </c>
    </row>
    <row r="3" spans="1:21" x14ac:dyDescent="0.3">
      <c r="A3" s="44"/>
      <c r="B3" s="71">
        <v>2014</v>
      </c>
      <c r="C3" s="71"/>
      <c r="D3" s="71"/>
      <c r="E3" s="71"/>
      <c r="F3" s="71"/>
      <c r="G3" s="71"/>
      <c r="H3" s="44"/>
      <c r="I3" s="71">
        <v>2014</v>
      </c>
      <c r="J3" s="71"/>
      <c r="K3" s="71"/>
      <c r="L3" s="71"/>
      <c r="M3" s="71"/>
      <c r="N3" s="71"/>
      <c r="O3" s="71"/>
      <c r="Q3" s="71">
        <v>2014</v>
      </c>
      <c r="R3" s="71"/>
      <c r="S3" s="71"/>
      <c r="T3" s="71"/>
      <c r="U3" s="71"/>
    </row>
    <row r="4" spans="1:21" hidden="1" outlineLevel="1" x14ac:dyDescent="0.3">
      <c r="A4" s="5">
        <v>41640</v>
      </c>
      <c r="B4" s="13">
        <v>0</v>
      </c>
      <c r="C4" s="35">
        <v>35429</v>
      </c>
      <c r="D4" s="35"/>
      <c r="E4" s="35"/>
      <c r="F4" s="14">
        <v>37113</v>
      </c>
      <c r="G4" s="15">
        <v>1316</v>
      </c>
      <c r="H4" s="7">
        <f t="shared" ref="H4:H15" si="0">A4</f>
        <v>41640</v>
      </c>
      <c r="I4" s="1">
        <f t="shared" ref="I4:I14" si="1">IF(B5="","",B5-B4)</f>
        <v>0</v>
      </c>
      <c r="J4" s="32">
        <f t="shared" ref="J4:J14" si="2">IF(C5="","",C5-C4)</f>
        <v>267</v>
      </c>
      <c r="K4" s="4">
        <f>IF(I4="","",I4+J4)</f>
        <v>267</v>
      </c>
      <c r="L4" s="35"/>
      <c r="M4" s="35"/>
      <c r="N4" s="2">
        <f t="shared" ref="N4:N14" si="3">IF(F5="","",F5-F4)</f>
        <v>226</v>
      </c>
      <c r="O4" s="3">
        <f t="shared" ref="O4:O14" si="4">IF(G5="","",G5-G4)</f>
        <v>11</v>
      </c>
    </row>
    <row r="5" spans="1:21" hidden="1" outlineLevel="1" x14ac:dyDescent="0.3">
      <c r="A5" s="5">
        <v>41671</v>
      </c>
      <c r="B5" s="13">
        <v>0</v>
      </c>
      <c r="C5" s="35">
        <v>35696</v>
      </c>
      <c r="D5" s="35"/>
      <c r="E5" s="35"/>
      <c r="F5" s="14">
        <v>37339</v>
      </c>
      <c r="G5" s="15">
        <v>1327</v>
      </c>
      <c r="H5" s="7">
        <f t="shared" si="0"/>
        <v>41671</v>
      </c>
      <c r="I5" s="1">
        <f t="shared" si="1"/>
        <v>0</v>
      </c>
      <c r="J5" s="32">
        <f t="shared" si="2"/>
        <v>272</v>
      </c>
      <c r="K5" s="4">
        <f t="shared" ref="K5:K15" si="5">IF(I5="","",I5+J5)</f>
        <v>272</v>
      </c>
      <c r="L5" s="35"/>
      <c r="M5" s="35"/>
      <c r="N5" s="2">
        <f t="shared" si="3"/>
        <v>161</v>
      </c>
      <c r="O5" s="3">
        <f t="shared" si="4"/>
        <v>13</v>
      </c>
    </row>
    <row r="6" spans="1:21" hidden="1" outlineLevel="1" x14ac:dyDescent="0.3">
      <c r="A6" s="5">
        <v>41699</v>
      </c>
      <c r="B6" s="13">
        <v>0</v>
      </c>
      <c r="C6" s="35">
        <v>35968</v>
      </c>
      <c r="D6" s="35"/>
      <c r="E6" s="35"/>
      <c r="F6" s="14">
        <v>37500</v>
      </c>
      <c r="G6" s="15">
        <v>1340</v>
      </c>
      <c r="H6" s="7">
        <f t="shared" si="0"/>
        <v>41699</v>
      </c>
      <c r="I6" s="1">
        <f t="shared" si="1"/>
        <v>0</v>
      </c>
      <c r="J6" s="32">
        <f t="shared" si="2"/>
        <v>355</v>
      </c>
      <c r="K6" s="4">
        <f t="shared" si="5"/>
        <v>355</v>
      </c>
      <c r="L6" s="35"/>
      <c r="M6" s="35"/>
      <c r="N6" s="2">
        <f t="shared" si="3"/>
        <v>117</v>
      </c>
      <c r="O6" s="3">
        <f t="shared" si="4"/>
        <v>11</v>
      </c>
    </row>
    <row r="7" spans="1:21" hidden="1" outlineLevel="1" x14ac:dyDescent="0.3">
      <c r="A7" s="5">
        <v>41730</v>
      </c>
      <c r="B7" s="13">
        <v>0</v>
      </c>
      <c r="C7" s="35">
        <v>36323</v>
      </c>
      <c r="D7" s="35"/>
      <c r="E7" s="35"/>
      <c r="F7" s="14">
        <v>37617</v>
      </c>
      <c r="G7" s="15">
        <v>1351</v>
      </c>
      <c r="H7" s="7">
        <f t="shared" si="0"/>
        <v>41730</v>
      </c>
      <c r="I7" s="1">
        <f t="shared" si="1"/>
        <v>0</v>
      </c>
      <c r="J7" s="32">
        <f t="shared" si="2"/>
        <v>184</v>
      </c>
      <c r="K7" s="4">
        <f t="shared" si="5"/>
        <v>184</v>
      </c>
      <c r="L7" s="35"/>
      <c r="M7" s="35"/>
      <c r="N7" s="2">
        <f t="shared" si="3"/>
        <v>47</v>
      </c>
      <c r="O7" s="3">
        <f t="shared" si="4"/>
        <v>13</v>
      </c>
    </row>
    <row r="8" spans="1:21" hidden="1" outlineLevel="1" x14ac:dyDescent="0.3">
      <c r="A8" s="5">
        <v>41760</v>
      </c>
      <c r="B8" s="13">
        <v>0</v>
      </c>
      <c r="C8" s="35">
        <v>36507</v>
      </c>
      <c r="D8" s="35"/>
      <c r="E8" s="35"/>
      <c r="F8" s="14">
        <v>37664</v>
      </c>
      <c r="G8" s="15">
        <v>1364</v>
      </c>
      <c r="H8" s="7">
        <f t="shared" si="0"/>
        <v>41760</v>
      </c>
      <c r="I8" s="1">
        <f t="shared" si="1"/>
        <v>0</v>
      </c>
      <c r="J8" s="32">
        <f t="shared" si="2"/>
        <v>282</v>
      </c>
      <c r="K8" s="4">
        <f t="shared" si="5"/>
        <v>282</v>
      </c>
      <c r="L8" s="35"/>
      <c r="M8" s="35"/>
      <c r="N8" s="2">
        <f t="shared" si="3"/>
        <v>38</v>
      </c>
      <c r="O8" s="3">
        <f t="shared" si="4"/>
        <v>14</v>
      </c>
    </row>
    <row r="9" spans="1:21" hidden="1" outlineLevel="1" x14ac:dyDescent="0.3">
      <c r="A9" s="5">
        <v>41791</v>
      </c>
      <c r="B9" s="13">
        <v>0</v>
      </c>
      <c r="C9" s="35">
        <v>36789</v>
      </c>
      <c r="D9" s="35"/>
      <c r="E9" s="35"/>
      <c r="F9" s="14">
        <v>37702</v>
      </c>
      <c r="G9" s="15">
        <v>1378</v>
      </c>
      <c r="H9" s="7">
        <f t="shared" si="0"/>
        <v>41791</v>
      </c>
      <c r="I9" s="1">
        <f t="shared" si="1"/>
        <v>0</v>
      </c>
      <c r="J9" s="32">
        <f t="shared" si="2"/>
        <v>282</v>
      </c>
      <c r="K9" s="4">
        <f t="shared" si="5"/>
        <v>282</v>
      </c>
      <c r="L9" s="35"/>
      <c r="M9" s="35"/>
      <c r="N9" s="2">
        <f t="shared" si="3"/>
        <v>35</v>
      </c>
      <c r="O9" s="3">
        <f t="shared" si="4"/>
        <v>14</v>
      </c>
    </row>
    <row r="10" spans="1:21" hidden="1" outlineLevel="1" x14ac:dyDescent="0.3">
      <c r="A10" s="5">
        <v>41821</v>
      </c>
      <c r="B10" s="13">
        <v>0</v>
      </c>
      <c r="C10" s="35">
        <v>37071</v>
      </c>
      <c r="D10" s="35"/>
      <c r="E10" s="35"/>
      <c r="F10" s="14">
        <v>37737</v>
      </c>
      <c r="G10" s="15">
        <v>1392</v>
      </c>
      <c r="H10" s="7">
        <f t="shared" si="0"/>
        <v>41821</v>
      </c>
      <c r="I10" s="1">
        <f t="shared" si="1"/>
        <v>0</v>
      </c>
      <c r="J10" s="32">
        <f t="shared" si="2"/>
        <v>282</v>
      </c>
      <c r="K10" s="4">
        <f t="shared" si="5"/>
        <v>282</v>
      </c>
      <c r="L10" s="35"/>
      <c r="M10" s="35"/>
      <c r="N10" s="2">
        <f t="shared" si="3"/>
        <v>28</v>
      </c>
      <c r="O10" s="3">
        <f t="shared" si="4"/>
        <v>12</v>
      </c>
    </row>
    <row r="11" spans="1:21" hidden="1" outlineLevel="1" x14ac:dyDescent="0.3">
      <c r="A11" s="5">
        <v>41852</v>
      </c>
      <c r="B11" s="13">
        <v>0</v>
      </c>
      <c r="C11" s="35">
        <v>37353</v>
      </c>
      <c r="D11" s="35"/>
      <c r="E11" s="35"/>
      <c r="F11" s="14">
        <v>37765</v>
      </c>
      <c r="G11" s="15">
        <v>1404</v>
      </c>
      <c r="H11" s="7">
        <f t="shared" si="0"/>
        <v>41852</v>
      </c>
      <c r="I11" s="1">
        <f t="shared" si="1"/>
        <v>0</v>
      </c>
      <c r="J11" s="32">
        <f t="shared" si="2"/>
        <v>304</v>
      </c>
      <c r="K11" s="4">
        <f t="shared" si="5"/>
        <v>304</v>
      </c>
      <c r="L11" s="35"/>
      <c r="M11" s="35"/>
      <c r="N11" s="2">
        <f t="shared" si="3"/>
        <v>26</v>
      </c>
      <c r="O11" s="3">
        <f t="shared" si="4"/>
        <v>11</v>
      </c>
    </row>
    <row r="12" spans="1:21" hidden="1" outlineLevel="1" x14ac:dyDescent="0.3">
      <c r="A12" s="5">
        <v>41883</v>
      </c>
      <c r="B12" s="21">
        <v>0</v>
      </c>
      <c r="C12" s="37">
        <v>37657</v>
      </c>
      <c r="D12" s="37"/>
      <c r="E12" s="37"/>
      <c r="F12" s="14">
        <v>37791</v>
      </c>
      <c r="G12" s="22">
        <v>1415</v>
      </c>
      <c r="H12" s="7">
        <f t="shared" si="0"/>
        <v>41883</v>
      </c>
      <c r="I12" s="1">
        <f t="shared" si="1"/>
        <v>0</v>
      </c>
      <c r="J12" s="32">
        <f t="shared" si="2"/>
        <v>273</v>
      </c>
      <c r="K12" s="4">
        <f t="shared" si="5"/>
        <v>273</v>
      </c>
      <c r="L12" s="37"/>
      <c r="M12" s="37"/>
      <c r="N12" s="2">
        <f t="shared" si="3"/>
        <v>27</v>
      </c>
      <c r="O12" s="3">
        <f t="shared" si="4"/>
        <v>10</v>
      </c>
    </row>
    <row r="13" spans="1:21" hidden="1" outlineLevel="1" x14ac:dyDescent="0.3">
      <c r="A13" s="5">
        <v>41913</v>
      </c>
      <c r="B13" s="13">
        <v>0</v>
      </c>
      <c r="C13" s="35">
        <v>37930</v>
      </c>
      <c r="D13" s="35"/>
      <c r="E13" s="35"/>
      <c r="F13" s="14">
        <v>37818</v>
      </c>
      <c r="G13" s="15">
        <v>1425</v>
      </c>
      <c r="H13" s="7">
        <f t="shared" si="0"/>
        <v>41913</v>
      </c>
      <c r="I13" s="1">
        <f t="shared" si="1"/>
        <v>0</v>
      </c>
      <c r="J13" s="32">
        <f t="shared" si="2"/>
        <v>304</v>
      </c>
      <c r="K13" s="4">
        <f t="shared" si="5"/>
        <v>304</v>
      </c>
      <c r="L13" s="35"/>
      <c r="M13" s="35"/>
      <c r="N13" s="2">
        <f t="shared" si="3"/>
        <v>46</v>
      </c>
      <c r="O13" s="3">
        <f t="shared" si="4"/>
        <v>12</v>
      </c>
    </row>
    <row r="14" spans="1:21" hidden="1" outlineLevel="1" x14ac:dyDescent="0.3">
      <c r="A14" s="5">
        <v>41944</v>
      </c>
      <c r="B14" s="13">
        <v>0</v>
      </c>
      <c r="C14" s="35">
        <v>38234</v>
      </c>
      <c r="D14" s="35"/>
      <c r="E14" s="35"/>
      <c r="F14" s="14">
        <v>37864</v>
      </c>
      <c r="G14" s="15">
        <v>1437</v>
      </c>
      <c r="H14" s="7">
        <f t="shared" si="0"/>
        <v>41944</v>
      </c>
      <c r="I14" s="1">
        <f t="shared" si="1"/>
        <v>0</v>
      </c>
      <c r="J14" s="32">
        <f t="shared" si="2"/>
        <v>355</v>
      </c>
      <c r="K14" s="4">
        <f t="shared" si="5"/>
        <v>355</v>
      </c>
      <c r="L14" s="35"/>
      <c r="M14" s="35"/>
      <c r="N14" s="2">
        <f t="shared" si="3"/>
        <v>199</v>
      </c>
      <c r="O14" s="3">
        <f t="shared" si="4"/>
        <v>13</v>
      </c>
    </row>
    <row r="15" spans="1:21" hidden="1" outlineLevel="1" x14ac:dyDescent="0.3">
      <c r="A15" s="5">
        <v>41974</v>
      </c>
      <c r="B15" s="13">
        <v>0</v>
      </c>
      <c r="C15" s="35">
        <v>38589</v>
      </c>
      <c r="D15" s="35"/>
      <c r="E15" s="35"/>
      <c r="F15" s="14">
        <v>38063</v>
      </c>
      <c r="G15" s="15">
        <v>1450</v>
      </c>
      <c r="H15" s="7">
        <f t="shared" si="0"/>
        <v>41974</v>
      </c>
      <c r="I15" s="1">
        <f>IF(B17="","",B17-B15)</f>
        <v>0</v>
      </c>
      <c r="J15" s="32">
        <f>IF(C17="","",C17-C15)</f>
        <v>349</v>
      </c>
      <c r="K15" s="4">
        <f t="shared" si="5"/>
        <v>349</v>
      </c>
      <c r="L15" s="35"/>
      <c r="M15" s="35"/>
      <c r="N15" s="2">
        <f>IF(F17="","",F17-F15)</f>
        <v>140</v>
      </c>
      <c r="O15" s="3">
        <f>IF(G17="","",G17-G15)</f>
        <v>11</v>
      </c>
      <c r="Q15" s="65">
        <f>SUM(I4:I15)</f>
        <v>0</v>
      </c>
      <c r="R15" s="30">
        <f t="shared" ref="R15" si="6">SUM(J4:J15)</f>
        <v>3509</v>
      </c>
      <c r="S15" s="41">
        <f t="shared" ref="S15" si="7">SUM(K4:K15)</f>
        <v>3509</v>
      </c>
      <c r="T15" s="64">
        <f t="shared" ref="T15" si="8">SUM(N4:N15)</f>
        <v>1090</v>
      </c>
      <c r="U15" s="66">
        <f t="shared" ref="U15" si="9">SUM(O4:O15)</f>
        <v>145</v>
      </c>
    </row>
    <row r="16" spans="1:21" collapsed="1" x14ac:dyDescent="0.3">
      <c r="A16" s="44"/>
      <c r="B16" s="71">
        <v>2015</v>
      </c>
      <c r="C16" s="71"/>
      <c r="D16" s="71"/>
      <c r="E16" s="71"/>
      <c r="F16" s="71"/>
      <c r="G16" s="71"/>
      <c r="H16" s="44"/>
      <c r="I16" s="71">
        <v>2015</v>
      </c>
      <c r="J16" s="71"/>
      <c r="K16" s="71"/>
      <c r="L16" s="71"/>
      <c r="M16" s="71"/>
      <c r="N16" s="71"/>
      <c r="O16" s="71"/>
      <c r="Q16" s="71">
        <v>2015</v>
      </c>
      <c r="R16" s="71"/>
      <c r="S16" s="71"/>
      <c r="T16" s="71"/>
      <c r="U16" s="71"/>
    </row>
    <row r="17" spans="1:21" hidden="1" outlineLevel="1" x14ac:dyDescent="0.3">
      <c r="A17" s="5">
        <v>42005</v>
      </c>
      <c r="B17" s="13">
        <v>0</v>
      </c>
      <c r="C17" s="35">
        <v>38938</v>
      </c>
      <c r="D17" s="35"/>
      <c r="E17" s="35"/>
      <c r="F17" s="14">
        <v>38203</v>
      </c>
      <c r="G17" s="15">
        <v>1461</v>
      </c>
      <c r="H17" s="7">
        <f t="shared" ref="H17:H28" si="10">A17</f>
        <v>42005</v>
      </c>
      <c r="I17" s="1">
        <f t="shared" ref="I17:I27" si="11">IF(B18="","",B18-B17)</f>
        <v>0</v>
      </c>
      <c r="J17" s="32">
        <f t="shared" ref="J17:J27" si="12">IF(C18="","",C18-C17)</f>
        <v>335</v>
      </c>
      <c r="K17" s="4">
        <f>IF(I17="","",I17+J17)</f>
        <v>335</v>
      </c>
      <c r="L17" s="35"/>
      <c r="M17" s="35"/>
      <c r="N17" s="2">
        <f t="shared" ref="N17:N27" si="13">IF(F18="","",F18-F17)</f>
        <v>288</v>
      </c>
      <c r="O17" s="3">
        <f t="shared" ref="O17:O27" si="14">IF(G18="","",G18-G17)</f>
        <v>12</v>
      </c>
    </row>
    <row r="18" spans="1:21" hidden="1" outlineLevel="1" x14ac:dyDescent="0.3">
      <c r="A18" s="5">
        <v>42036</v>
      </c>
      <c r="B18" s="13">
        <v>0</v>
      </c>
      <c r="C18" s="35">
        <v>39273</v>
      </c>
      <c r="D18" s="35"/>
      <c r="E18" s="35"/>
      <c r="F18" s="14">
        <v>38491</v>
      </c>
      <c r="G18" s="15">
        <v>1473</v>
      </c>
      <c r="H18" s="7">
        <f t="shared" si="10"/>
        <v>42036</v>
      </c>
      <c r="I18" s="1">
        <f t="shared" si="11"/>
        <v>0</v>
      </c>
      <c r="J18" s="32">
        <f t="shared" si="12"/>
        <v>269</v>
      </c>
      <c r="K18" s="4">
        <f t="shared" ref="K18:K28" si="15">IF(I18="","",I18+J18)</f>
        <v>269</v>
      </c>
      <c r="L18" s="35"/>
      <c r="M18" s="35"/>
      <c r="N18" s="2">
        <f t="shared" si="13"/>
        <v>194</v>
      </c>
      <c r="O18" s="3">
        <f t="shared" si="14"/>
        <v>10</v>
      </c>
    </row>
    <row r="19" spans="1:21" hidden="1" outlineLevel="1" x14ac:dyDescent="0.3">
      <c r="A19" s="5">
        <v>42064</v>
      </c>
      <c r="B19" s="13">
        <v>0</v>
      </c>
      <c r="C19" s="35">
        <v>39542</v>
      </c>
      <c r="D19" s="35"/>
      <c r="E19" s="35"/>
      <c r="F19" s="14">
        <v>38685</v>
      </c>
      <c r="G19" s="15">
        <v>1483</v>
      </c>
      <c r="H19" s="7">
        <f t="shared" si="10"/>
        <v>42064</v>
      </c>
      <c r="I19" s="1">
        <f t="shared" si="11"/>
        <v>0</v>
      </c>
      <c r="J19" s="32">
        <f t="shared" si="12"/>
        <v>302</v>
      </c>
      <c r="K19" s="4">
        <f t="shared" si="15"/>
        <v>302</v>
      </c>
      <c r="L19" s="35"/>
      <c r="M19" s="35"/>
      <c r="N19" s="2">
        <f t="shared" si="13"/>
        <v>199</v>
      </c>
      <c r="O19" s="3">
        <f t="shared" si="14"/>
        <v>11</v>
      </c>
    </row>
    <row r="20" spans="1:21" hidden="1" outlineLevel="1" x14ac:dyDescent="0.3">
      <c r="A20" s="5">
        <v>42095</v>
      </c>
      <c r="B20" s="13">
        <v>0</v>
      </c>
      <c r="C20" s="35">
        <v>39844</v>
      </c>
      <c r="D20" s="35"/>
      <c r="E20" s="35"/>
      <c r="F20" s="14">
        <v>38884</v>
      </c>
      <c r="G20" s="15">
        <v>1494</v>
      </c>
      <c r="H20" s="7">
        <f t="shared" si="10"/>
        <v>42095</v>
      </c>
      <c r="I20" s="1">
        <f t="shared" si="11"/>
        <v>0</v>
      </c>
      <c r="J20" s="32">
        <f t="shared" si="12"/>
        <v>272</v>
      </c>
      <c r="K20" s="4">
        <f t="shared" si="15"/>
        <v>272</v>
      </c>
      <c r="L20" s="35"/>
      <c r="M20" s="35"/>
      <c r="N20" s="2">
        <f t="shared" si="13"/>
        <v>81</v>
      </c>
      <c r="O20" s="3">
        <f t="shared" si="14"/>
        <v>10</v>
      </c>
    </row>
    <row r="21" spans="1:21" hidden="1" outlineLevel="1" x14ac:dyDescent="0.3">
      <c r="A21" s="5">
        <v>42125</v>
      </c>
      <c r="B21" s="13">
        <v>0</v>
      </c>
      <c r="C21" s="35">
        <v>40116</v>
      </c>
      <c r="D21" s="35"/>
      <c r="E21" s="35"/>
      <c r="F21" s="14">
        <v>38965</v>
      </c>
      <c r="G21" s="15">
        <v>1504</v>
      </c>
      <c r="H21" s="7">
        <f t="shared" si="10"/>
        <v>42125</v>
      </c>
      <c r="I21" s="1">
        <f t="shared" si="11"/>
        <v>0</v>
      </c>
      <c r="J21" s="32">
        <f t="shared" si="12"/>
        <v>305</v>
      </c>
      <c r="K21" s="4">
        <f t="shared" si="15"/>
        <v>305</v>
      </c>
      <c r="L21" s="35"/>
      <c r="M21" s="35"/>
      <c r="N21" s="2">
        <f t="shared" si="13"/>
        <v>50</v>
      </c>
      <c r="O21" s="3">
        <f t="shared" si="14"/>
        <v>12</v>
      </c>
    </row>
    <row r="22" spans="1:21" hidden="1" outlineLevel="1" x14ac:dyDescent="0.3">
      <c r="A22" s="5">
        <v>42156</v>
      </c>
      <c r="B22" s="13">
        <v>0</v>
      </c>
      <c r="C22" s="35">
        <v>40421</v>
      </c>
      <c r="D22" s="35"/>
      <c r="E22" s="35"/>
      <c r="F22" s="14">
        <v>39015</v>
      </c>
      <c r="G22" s="15">
        <v>1516</v>
      </c>
      <c r="H22" s="7">
        <f t="shared" si="10"/>
        <v>42156</v>
      </c>
      <c r="I22" s="1">
        <f t="shared" si="11"/>
        <v>0</v>
      </c>
      <c r="J22" s="32">
        <f t="shared" si="12"/>
        <v>290</v>
      </c>
      <c r="K22" s="4">
        <f t="shared" si="15"/>
        <v>290</v>
      </c>
      <c r="L22" s="35"/>
      <c r="M22" s="35"/>
      <c r="N22" s="2">
        <f t="shared" si="13"/>
        <v>32</v>
      </c>
      <c r="O22" s="3">
        <f t="shared" si="14"/>
        <v>12</v>
      </c>
    </row>
    <row r="23" spans="1:21" hidden="1" outlineLevel="1" x14ac:dyDescent="0.3">
      <c r="A23" s="5">
        <v>42186</v>
      </c>
      <c r="B23" s="20">
        <v>0</v>
      </c>
      <c r="C23" s="38">
        <v>40711</v>
      </c>
      <c r="D23" s="38"/>
      <c r="E23" s="38"/>
      <c r="F23" s="14">
        <v>39047</v>
      </c>
      <c r="G23" s="15">
        <v>1528</v>
      </c>
      <c r="H23" s="7">
        <f t="shared" si="10"/>
        <v>42186</v>
      </c>
      <c r="I23" s="1">
        <f t="shared" si="11"/>
        <v>0</v>
      </c>
      <c r="J23" s="32">
        <f t="shared" si="12"/>
        <v>209</v>
      </c>
      <c r="K23" s="4">
        <f t="shared" si="15"/>
        <v>209</v>
      </c>
      <c r="L23" s="38"/>
      <c r="M23" s="38"/>
      <c r="N23" s="2">
        <f t="shared" si="13"/>
        <v>18</v>
      </c>
      <c r="O23" s="3">
        <f t="shared" si="14"/>
        <v>8</v>
      </c>
    </row>
    <row r="24" spans="1:21" hidden="1" outlineLevel="1" x14ac:dyDescent="0.3">
      <c r="A24" s="5">
        <v>42217</v>
      </c>
      <c r="B24" s="13">
        <v>0</v>
      </c>
      <c r="C24" s="35">
        <v>40920</v>
      </c>
      <c r="D24" s="35"/>
      <c r="E24" s="35"/>
      <c r="F24" s="14">
        <v>39065</v>
      </c>
      <c r="G24" s="15">
        <v>1536</v>
      </c>
      <c r="H24" s="7">
        <f t="shared" si="10"/>
        <v>42217</v>
      </c>
      <c r="I24" s="1">
        <f t="shared" si="11"/>
        <v>0</v>
      </c>
      <c r="J24" s="32">
        <f t="shared" si="12"/>
        <v>293</v>
      </c>
      <c r="K24" s="4">
        <f t="shared" si="15"/>
        <v>293</v>
      </c>
      <c r="L24" s="35"/>
      <c r="M24" s="35"/>
      <c r="N24" s="2">
        <f t="shared" si="13"/>
        <v>36</v>
      </c>
      <c r="O24" s="3">
        <f t="shared" si="14"/>
        <v>12</v>
      </c>
    </row>
    <row r="25" spans="1:21" hidden="1" outlineLevel="1" x14ac:dyDescent="0.3">
      <c r="A25" s="5">
        <v>42248</v>
      </c>
      <c r="B25" s="21">
        <v>0</v>
      </c>
      <c r="C25" s="37">
        <v>41213</v>
      </c>
      <c r="D25" s="37"/>
      <c r="E25" s="37"/>
      <c r="F25" s="14">
        <v>39101</v>
      </c>
      <c r="G25" s="22">
        <v>1548</v>
      </c>
      <c r="H25" s="7">
        <f t="shared" si="10"/>
        <v>42248</v>
      </c>
      <c r="I25" s="1">
        <f t="shared" si="11"/>
        <v>0</v>
      </c>
      <c r="J25" s="32">
        <f t="shared" si="12"/>
        <v>293</v>
      </c>
      <c r="K25" s="4">
        <f t="shared" si="15"/>
        <v>293</v>
      </c>
      <c r="L25" s="37"/>
      <c r="M25" s="37"/>
      <c r="N25" s="2">
        <f t="shared" si="13"/>
        <v>37</v>
      </c>
      <c r="O25" s="3">
        <f t="shared" si="14"/>
        <v>12</v>
      </c>
    </row>
    <row r="26" spans="1:21" hidden="1" outlineLevel="1" x14ac:dyDescent="0.3">
      <c r="A26" s="5">
        <v>42278</v>
      </c>
      <c r="B26" s="13">
        <v>0</v>
      </c>
      <c r="C26" s="35">
        <v>41506</v>
      </c>
      <c r="D26" s="35"/>
      <c r="E26" s="35"/>
      <c r="F26" s="14">
        <v>39138</v>
      </c>
      <c r="G26" s="15">
        <v>1560</v>
      </c>
      <c r="H26" s="7">
        <f t="shared" si="10"/>
        <v>42278</v>
      </c>
      <c r="I26" s="1">
        <f t="shared" si="11"/>
        <v>0</v>
      </c>
      <c r="J26" s="32">
        <f t="shared" si="12"/>
        <v>304</v>
      </c>
      <c r="K26" s="4">
        <f t="shared" si="15"/>
        <v>304</v>
      </c>
      <c r="L26" s="35"/>
      <c r="M26" s="35"/>
      <c r="N26" s="2">
        <f t="shared" si="13"/>
        <v>88</v>
      </c>
      <c r="O26" s="3">
        <f t="shared" si="14"/>
        <v>14</v>
      </c>
    </row>
    <row r="27" spans="1:21" hidden="1" outlineLevel="1" x14ac:dyDescent="0.3">
      <c r="A27" s="5">
        <v>42309</v>
      </c>
      <c r="B27" s="13">
        <v>0</v>
      </c>
      <c r="C27" s="35">
        <v>41810</v>
      </c>
      <c r="D27" s="35"/>
      <c r="E27" s="35"/>
      <c r="F27" s="14">
        <v>39226</v>
      </c>
      <c r="G27" s="15">
        <v>1574</v>
      </c>
      <c r="H27" s="7">
        <f t="shared" si="10"/>
        <v>42309</v>
      </c>
      <c r="I27" s="1">
        <f t="shared" si="11"/>
        <v>0</v>
      </c>
      <c r="J27" s="32">
        <f t="shared" si="12"/>
        <v>303</v>
      </c>
      <c r="K27" s="4">
        <f t="shared" si="15"/>
        <v>303</v>
      </c>
      <c r="L27" s="35"/>
      <c r="M27" s="35"/>
      <c r="N27" s="2">
        <f t="shared" si="13"/>
        <v>95</v>
      </c>
      <c r="O27" s="3">
        <f t="shared" si="14"/>
        <v>13</v>
      </c>
    </row>
    <row r="28" spans="1:21" hidden="1" outlineLevel="1" x14ac:dyDescent="0.3">
      <c r="A28" s="5">
        <v>42339</v>
      </c>
      <c r="B28" s="13">
        <v>0</v>
      </c>
      <c r="C28" s="35">
        <v>42113</v>
      </c>
      <c r="D28" s="35"/>
      <c r="E28" s="35"/>
      <c r="F28" s="14">
        <v>39321</v>
      </c>
      <c r="G28" s="15">
        <v>1587</v>
      </c>
      <c r="H28" s="7">
        <f t="shared" si="10"/>
        <v>42339</v>
      </c>
      <c r="I28" s="1">
        <f>IF(B30="","",B30-B28)</f>
        <v>0</v>
      </c>
      <c r="J28" s="32">
        <f>IF(C30="","",C30-C28)</f>
        <v>369</v>
      </c>
      <c r="K28" s="4">
        <f t="shared" si="15"/>
        <v>369</v>
      </c>
      <c r="L28" s="35"/>
      <c r="M28" s="35"/>
      <c r="N28" s="2">
        <f>IF(F30="","",F30-F28)</f>
        <v>107</v>
      </c>
      <c r="O28" s="3">
        <f>IF(G30="","",G30-G28)</f>
        <v>14</v>
      </c>
      <c r="Q28" s="65">
        <f>SUM(I17:I28)</f>
        <v>0</v>
      </c>
      <c r="R28" s="30">
        <f t="shared" ref="R28" si="16">SUM(J17:J28)</f>
        <v>3544</v>
      </c>
      <c r="S28" s="41">
        <f t="shared" ref="S28" si="17">SUM(K17:K28)</f>
        <v>3544</v>
      </c>
      <c r="T28" s="64">
        <f t="shared" ref="T28" si="18">SUM(N17:N28)</f>
        <v>1225</v>
      </c>
      <c r="U28" s="66">
        <f t="shared" ref="U28" si="19">SUM(O17:O28)</f>
        <v>140</v>
      </c>
    </row>
    <row r="29" spans="1:21" collapsed="1" x14ac:dyDescent="0.3">
      <c r="A29" s="44"/>
      <c r="B29" s="71">
        <v>2016</v>
      </c>
      <c r="C29" s="71"/>
      <c r="D29" s="71"/>
      <c r="E29" s="71"/>
      <c r="F29" s="71"/>
      <c r="G29" s="71"/>
      <c r="H29" s="44"/>
      <c r="I29" s="71">
        <v>2016</v>
      </c>
      <c r="J29" s="71"/>
      <c r="K29" s="71"/>
      <c r="L29" s="71"/>
      <c r="M29" s="71"/>
      <c r="N29" s="71"/>
      <c r="O29" s="71"/>
      <c r="Q29" s="71">
        <v>2016</v>
      </c>
      <c r="R29" s="71"/>
      <c r="S29" s="71"/>
      <c r="T29" s="71"/>
      <c r="U29" s="71"/>
    </row>
    <row r="30" spans="1:21" hidden="1" outlineLevel="2" x14ac:dyDescent="0.3">
      <c r="A30" s="5">
        <v>42370</v>
      </c>
      <c r="B30" s="13">
        <v>0</v>
      </c>
      <c r="C30" s="35">
        <v>42482</v>
      </c>
      <c r="D30" s="35"/>
      <c r="E30" s="35"/>
      <c r="F30" s="14">
        <v>39428</v>
      </c>
      <c r="G30" s="15">
        <v>1601</v>
      </c>
      <c r="H30" s="7">
        <f t="shared" ref="H30:H41" si="20">A30</f>
        <v>42370</v>
      </c>
      <c r="I30" s="1">
        <f t="shared" ref="I30:I40" si="21">IF(B31="","",B31-B30)</f>
        <v>0</v>
      </c>
      <c r="J30" s="32">
        <f t="shared" ref="J30:J40" si="22">IF(C31="","",C31-C30)</f>
        <v>317</v>
      </c>
      <c r="K30" s="4">
        <f>IF(I30="","",I30+J30)</f>
        <v>317</v>
      </c>
      <c r="L30" s="35"/>
      <c r="M30" s="35"/>
      <c r="N30" s="2">
        <f t="shared" ref="N30:N40" si="23">IF(F31="","",F31-F30)</f>
        <v>220</v>
      </c>
      <c r="O30" s="3">
        <f t="shared" ref="O30:O40" si="24">IF(G31="","",G31-G30)</f>
        <v>14</v>
      </c>
    </row>
    <row r="31" spans="1:21" hidden="1" outlineLevel="2" x14ac:dyDescent="0.3">
      <c r="A31" s="5">
        <v>42401</v>
      </c>
      <c r="B31" s="13">
        <v>0</v>
      </c>
      <c r="C31" s="35">
        <v>42799</v>
      </c>
      <c r="D31" s="35"/>
      <c r="E31" s="35"/>
      <c r="F31" s="14">
        <v>39648</v>
      </c>
      <c r="G31" s="15">
        <v>1615</v>
      </c>
      <c r="H31" s="7">
        <f t="shared" si="20"/>
        <v>42401</v>
      </c>
      <c r="I31" s="1">
        <f t="shared" si="21"/>
        <v>0</v>
      </c>
      <c r="J31" s="32">
        <f t="shared" si="22"/>
        <v>274</v>
      </c>
      <c r="K31" s="4">
        <f t="shared" ref="K31:K41" si="25">IF(I31="","",I31+J31)</f>
        <v>274</v>
      </c>
      <c r="L31" s="35"/>
      <c r="M31" s="35"/>
      <c r="N31" s="2">
        <f t="shared" si="23"/>
        <v>192</v>
      </c>
      <c r="O31" s="3">
        <f t="shared" si="24"/>
        <v>13</v>
      </c>
    </row>
    <row r="32" spans="1:21" hidden="1" outlineLevel="2" x14ac:dyDescent="0.3">
      <c r="A32" s="5">
        <v>42430</v>
      </c>
      <c r="B32" s="13">
        <v>0</v>
      </c>
      <c r="C32" s="35">
        <v>43073</v>
      </c>
      <c r="D32" s="35"/>
      <c r="E32" s="35"/>
      <c r="F32" s="14">
        <v>39840</v>
      </c>
      <c r="G32" s="15">
        <v>1628</v>
      </c>
      <c r="H32" s="7">
        <f t="shared" si="20"/>
        <v>42430</v>
      </c>
      <c r="I32" s="1">
        <f t="shared" si="21"/>
        <v>0</v>
      </c>
      <c r="J32" s="32">
        <f t="shared" si="22"/>
        <v>268</v>
      </c>
      <c r="K32" s="4">
        <f t="shared" si="25"/>
        <v>268</v>
      </c>
      <c r="L32" s="35"/>
      <c r="M32" s="35"/>
      <c r="N32" s="2">
        <f t="shared" si="23"/>
        <v>175</v>
      </c>
      <c r="O32" s="3">
        <f t="shared" si="24"/>
        <v>13</v>
      </c>
    </row>
    <row r="33" spans="1:21" hidden="1" outlineLevel="2" x14ac:dyDescent="0.3">
      <c r="A33" s="5">
        <v>42461</v>
      </c>
      <c r="B33" s="13">
        <v>0</v>
      </c>
      <c r="C33" s="35">
        <v>43341</v>
      </c>
      <c r="D33" s="35"/>
      <c r="E33" s="35"/>
      <c r="F33" s="14">
        <v>40015</v>
      </c>
      <c r="G33" s="15">
        <v>1641</v>
      </c>
      <c r="H33" s="7">
        <f t="shared" si="20"/>
        <v>42461</v>
      </c>
      <c r="I33" s="1">
        <f t="shared" si="21"/>
        <v>0</v>
      </c>
      <c r="J33" s="32">
        <f t="shared" si="22"/>
        <v>265</v>
      </c>
      <c r="K33" s="4">
        <f t="shared" si="25"/>
        <v>265</v>
      </c>
      <c r="L33" s="35"/>
      <c r="M33" s="35"/>
      <c r="N33" s="2">
        <f t="shared" si="23"/>
        <v>117</v>
      </c>
      <c r="O33" s="3">
        <f t="shared" si="24"/>
        <v>14</v>
      </c>
    </row>
    <row r="34" spans="1:21" hidden="1" outlineLevel="2" x14ac:dyDescent="0.3">
      <c r="A34" s="5">
        <v>42491</v>
      </c>
      <c r="B34" s="13">
        <v>0</v>
      </c>
      <c r="C34" s="35">
        <v>43606</v>
      </c>
      <c r="D34" s="35"/>
      <c r="E34" s="35"/>
      <c r="F34" s="14">
        <v>40132</v>
      </c>
      <c r="G34" s="15">
        <v>1655</v>
      </c>
      <c r="H34" s="7">
        <f t="shared" si="20"/>
        <v>42491</v>
      </c>
      <c r="I34" s="1">
        <f t="shared" si="21"/>
        <v>0</v>
      </c>
      <c r="J34" s="32">
        <f t="shared" si="22"/>
        <v>271</v>
      </c>
      <c r="K34" s="4">
        <f t="shared" si="25"/>
        <v>271</v>
      </c>
      <c r="L34" s="35"/>
      <c r="M34" s="35"/>
      <c r="N34" s="2">
        <f t="shared" si="23"/>
        <v>48</v>
      </c>
      <c r="O34" s="3">
        <f t="shared" si="24"/>
        <v>14</v>
      </c>
    </row>
    <row r="35" spans="1:21" hidden="1" outlineLevel="2" x14ac:dyDescent="0.3">
      <c r="A35" s="5">
        <v>42522</v>
      </c>
      <c r="B35" s="13">
        <v>0</v>
      </c>
      <c r="C35" s="35">
        <v>43877</v>
      </c>
      <c r="D35" s="35"/>
      <c r="E35" s="35"/>
      <c r="F35" s="14">
        <v>40180</v>
      </c>
      <c r="G35" s="15">
        <v>1669</v>
      </c>
      <c r="H35" s="7">
        <f t="shared" si="20"/>
        <v>42522</v>
      </c>
      <c r="I35" s="1">
        <f t="shared" si="21"/>
        <v>0</v>
      </c>
      <c r="J35" s="32">
        <f t="shared" si="22"/>
        <v>260</v>
      </c>
      <c r="K35" s="4">
        <f t="shared" si="25"/>
        <v>260</v>
      </c>
      <c r="L35" s="35"/>
      <c r="M35" s="35"/>
      <c r="N35" s="2">
        <f t="shared" si="23"/>
        <v>34</v>
      </c>
      <c r="O35" s="3">
        <f t="shared" si="24"/>
        <v>13</v>
      </c>
    </row>
    <row r="36" spans="1:21" hidden="1" outlineLevel="2" x14ac:dyDescent="0.3">
      <c r="A36" s="5">
        <v>42552</v>
      </c>
      <c r="B36" s="20">
        <v>0</v>
      </c>
      <c r="C36" s="38">
        <v>44137</v>
      </c>
      <c r="D36" s="38"/>
      <c r="E36" s="38"/>
      <c r="F36" s="14">
        <v>40214</v>
      </c>
      <c r="G36" s="15">
        <v>1682</v>
      </c>
      <c r="H36" s="7">
        <f t="shared" si="20"/>
        <v>42552</v>
      </c>
      <c r="I36" s="1">
        <f t="shared" si="21"/>
        <v>0</v>
      </c>
      <c r="J36" s="32">
        <f t="shared" si="22"/>
        <v>254</v>
      </c>
      <c r="K36" s="4">
        <f t="shared" si="25"/>
        <v>254</v>
      </c>
      <c r="L36" s="38"/>
      <c r="M36" s="38"/>
      <c r="N36" s="2">
        <f t="shared" si="23"/>
        <v>25</v>
      </c>
      <c r="O36" s="3">
        <f t="shared" si="24"/>
        <v>12</v>
      </c>
    </row>
    <row r="37" spans="1:21" hidden="1" outlineLevel="2" x14ac:dyDescent="0.3">
      <c r="A37" s="5">
        <v>42583</v>
      </c>
      <c r="B37" s="13">
        <v>0</v>
      </c>
      <c r="C37" s="35">
        <v>44391</v>
      </c>
      <c r="D37" s="35"/>
      <c r="E37" s="35"/>
      <c r="F37" s="14">
        <v>40239</v>
      </c>
      <c r="G37" s="15">
        <v>1694</v>
      </c>
      <c r="H37" s="7">
        <f t="shared" si="20"/>
        <v>42583</v>
      </c>
      <c r="I37" s="1">
        <f t="shared" si="21"/>
        <v>0</v>
      </c>
      <c r="J37" s="32">
        <f t="shared" si="22"/>
        <v>305</v>
      </c>
      <c r="K37" s="4">
        <f t="shared" si="25"/>
        <v>305</v>
      </c>
      <c r="L37" s="35"/>
      <c r="M37" s="35"/>
      <c r="N37" s="2">
        <f t="shared" si="23"/>
        <v>34</v>
      </c>
      <c r="O37" s="3">
        <f t="shared" si="24"/>
        <v>17</v>
      </c>
    </row>
    <row r="38" spans="1:21" hidden="1" outlineLevel="2" x14ac:dyDescent="0.3">
      <c r="A38" s="5">
        <v>42614</v>
      </c>
      <c r="B38" s="21">
        <v>0</v>
      </c>
      <c r="C38" s="37">
        <v>44696</v>
      </c>
      <c r="D38" s="37"/>
      <c r="E38" s="37"/>
      <c r="F38" s="14">
        <v>40273</v>
      </c>
      <c r="G38" s="22">
        <v>1711</v>
      </c>
      <c r="H38" s="7">
        <f t="shared" si="20"/>
        <v>42614</v>
      </c>
      <c r="I38" s="1">
        <f t="shared" si="21"/>
        <v>0</v>
      </c>
      <c r="J38" s="32">
        <f t="shared" si="22"/>
        <v>280</v>
      </c>
      <c r="K38" s="4">
        <f t="shared" si="25"/>
        <v>280</v>
      </c>
      <c r="L38" s="37"/>
      <c r="M38" s="37"/>
      <c r="N38" s="2">
        <f t="shared" si="23"/>
        <v>29</v>
      </c>
      <c r="O38" s="3">
        <f t="shared" si="24"/>
        <v>12</v>
      </c>
    </row>
    <row r="39" spans="1:21" hidden="1" outlineLevel="2" x14ac:dyDescent="0.3">
      <c r="A39" s="5">
        <v>42644</v>
      </c>
      <c r="B39" s="13">
        <v>0</v>
      </c>
      <c r="C39" s="35">
        <v>44976</v>
      </c>
      <c r="D39" s="35"/>
      <c r="E39" s="35"/>
      <c r="F39" s="14">
        <v>40302</v>
      </c>
      <c r="G39" s="15">
        <v>1723</v>
      </c>
      <c r="H39" s="7">
        <f t="shared" si="20"/>
        <v>42644</v>
      </c>
      <c r="I39" s="1">
        <f t="shared" si="21"/>
        <v>0</v>
      </c>
      <c r="J39" s="32">
        <f t="shared" si="22"/>
        <v>275</v>
      </c>
      <c r="K39" s="4">
        <f t="shared" si="25"/>
        <v>275</v>
      </c>
      <c r="L39" s="35"/>
      <c r="M39" s="35"/>
      <c r="N39" s="2">
        <f t="shared" si="23"/>
        <v>105</v>
      </c>
      <c r="O39" s="3">
        <f t="shared" si="24"/>
        <v>15</v>
      </c>
    </row>
    <row r="40" spans="1:21" hidden="1" outlineLevel="2" x14ac:dyDescent="0.3">
      <c r="A40" s="5">
        <v>42675</v>
      </c>
      <c r="B40" s="13">
        <v>0</v>
      </c>
      <c r="C40" s="35">
        <v>45251</v>
      </c>
      <c r="D40" s="35"/>
      <c r="E40" s="35"/>
      <c r="F40" s="14">
        <v>40407</v>
      </c>
      <c r="G40" s="15">
        <v>1738</v>
      </c>
      <c r="H40" s="7">
        <f t="shared" si="20"/>
        <v>42675</v>
      </c>
      <c r="I40" s="1">
        <f t="shared" si="21"/>
        <v>0</v>
      </c>
      <c r="J40" s="32">
        <f t="shared" si="22"/>
        <v>283</v>
      </c>
      <c r="K40" s="4">
        <f t="shared" si="25"/>
        <v>283</v>
      </c>
      <c r="L40" s="35"/>
      <c r="M40" s="35"/>
      <c r="N40" s="2">
        <f t="shared" si="23"/>
        <v>155</v>
      </c>
      <c r="O40" s="3">
        <f t="shared" si="24"/>
        <v>18</v>
      </c>
    </row>
    <row r="41" spans="1:21" hidden="1" outlineLevel="2" x14ac:dyDescent="0.3">
      <c r="A41" s="5">
        <v>42705</v>
      </c>
      <c r="B41" s="13">
        <v>0</v>
      </c>
      <c r="C41" s="35">
        <v>45534</v>
      </c>
      <c r="D41" s="35"/>
      <c r="E41" s="35"/>
      <c r="F41" s="14">
        <v>40562</v>
      </c>
      <c r="G41" s="15">
        <v>1756</v>
      </c>
      <c r="H41" s="7">
        <f t="shared" si="20"/>
        <v>42705</v>
      </c>
      <c r="I41" s="1">
        <f>IF(B43="","",B43-B41)</f>
        <v>0</v>
      </c>
      <c r="J41" s="32">
        <f>IF(C43="","",C43-C41)</f>
        <v>317</v>
      </c>
      <c r="K41" s="4">
        <f t="shared" si="25"/>
        <v>317</v>
      </c>
      <c r="L41" s="35"/>
      <c r="M41" s="35"/>
      <c r="N41" s="2">
        <f>IF(F43="","",F43-F41)</f>
        <v>160</v>
      </c>
      <c r="O41" s="3">
        <f>IF(G43="","",G43-G41)</f>
        <v>16</v>
      </c>
      <c r="Q41" s="65">
        <f>SUM(I30:I41)</f>
        <v>0</v>
      </c>
      <c r="R41" s="30">
        <f t="shared" ref="R41" si="26">SUM(J30:J41)</f>
        <v>3369</v>
      </c>
      <c r="S41" s="41">
        <f t="shared" ref="S41" si="27">SUM(K30:K41)</f>
        <v>3369</v>
      </c>
      <c r="T41" s="64">
        <f t="shared" ref="T41" si="28">SUM(N30:N41)</f>
        <v>1294</v>
      </c>
      <c r="U41" s="66">
        <f t="shared" ref="U41" si="29">SUM(O30:O41)</f>
        <v>171</v>
      </c>
    </row>
    <row r="42" spans="1:21" collapsed="1" x14ac:dyDescent="0.3">
      <c r="A42" s="6"/>
      <c r="B42" s="71">
        <v>2017</v>
      </c>
      <c r="C42" s="71"/>
      <c r="D42" s="71"/>
      <c r="E42" s="71"/>
      <c r="F42" s="71"/>
      <c r="G42" s="71"/>
      <c r="H42" s="6"/>
      <c r="I42" s="71">
        <v>2017</v>
      </c>
      <c r="J42" s="71"/>
      <c r="K42" s="71"/>
      <c r="L42" s="71"/>
      <c r="M42" s="71"/>
      <c r="N42" s="71"/>
      <c r="O42" s="71"/>
      <c r="Q42" s="71">
        <v>2017</v>
      </c>
      <c r="R42" s="71"/>
      <c r="S42" s="71"/>
      <c r="T42" s="71"/>
      <c r="U42" s="71"/>
    </row>
    <row r="43" spans="1:21" hidden="1" outlineLevel="2" x14ac:dyDescent="0.3">
      <c r="A43" s="5">
        <v>42736</v>
      </c>
      <c r="B43" s="13">
        <v>0</v>
      </c>
      <c r="C43" s="35">
        <v>45851</v>
      </c>
      <c r="D43" s="35"/>
      <c r="E43" s="35"/>
      <c r="F43" s="14">
        <v>40722</v>
      </c>
      <c r="G43" s="15">
        <v>1772</v>
      </c>
      <c r="H43" s="7">
        <v>43831</v>
      </c>
      <c r="I43" s="1">
        <f t="shared" ref="I43:J47" si="30">IF(B44="","",B44-B43)</f>
        <v>0</v>
      </c>
      <c r="J43" s="32">
        <f t="shared" si="30"/>
        <v>269</v>
      </c>
      <c r="K43" s="4">
        <f>IF(I43="","",I43+J43)</f>
        <v>269</v>
      </c>
      <c r="L43" s="35"/>
      <c r="M43" s="35"/>
      <c r="N43" s="2">
        <f>IF(F44="","",F44-F43)</f>
        <v>243</v>
      </c>
      <c r="O43" s="3">
        <f t="shared" ref="O43:O53" si="31">IF(G44="","",G44-G43)</f>
        <v>13</v>
      </c>
    </row>
    <row r="44" spans="1:21" hidden="1" outlineLevel="2" x14ac:dyDescent="0.3">
      <c r="A44" s="5">
        <v>42767</v>
      </c>
      <c r="B44" s="13">
        <v>0</v>
      </c>
      <c r="C44" s="35">
        <v>46120</v>
      </c>
      <c r="D44" s="35"/>
      <c r="E44" s="35"/>
      <c r="F44" s="14">
        <v>40965</v>
      </c>
      <c r="G44" s="15">
        <v>1785</v>
      </c>
      <c r="H44" s="7">
        <v>43862</v>
      </c>
      <c r="I44" s="1">
        <f t="shared" si="30"/>
        <v>0</v>
      </c>
      <c r="J44" s="32">
        <f t="shared" si="30"/>
        <v>276</v>
      </c>
      <c r="K44" s="4">
        <f t="shared" ref="K44:K54" si="32">IF(I44="","",I44+J44)</f>
        <v>276</v>
      </c>
      <c r="L44" s="35"/>
      <c r="M44" s="35"/>
      <c r="N44" s="2">
        <f>IF(F45="","",F45-F44)</f>
        <v>190</v>
      </c>
      <c r="O44" s="3">
        <f t="shared" si="31"/>
        <v>12</v>
      </c>
    </row>
    <row r="45" spans="1:21" hidden="1" outlineLevel="2" x14ac:dyDescent="0.3">
      <c r="A45" s="5">
        <v>42795</v>
      </c>
      <c r="B45" s="13">
        <v>0</v>
      </c>
      <c r="C45" s="35">
        <v>46396</v>
      </c>
      <c r="D45" s="35"/>
      <c r="E45" s="35"/>
      <c r="F45" s="14">
        <v>41155</v>
      </c>
      <c r="G45" s="15">
        <v>1797</v>
      </c>
      <c r="H45" s="7">
        <v>43891</v>
      </c>
      <c r="I45" s="1">
        <f t="shared" si="30"/>
        <v>0</v>
      </c>
      <c r="J45" s="32">
        <f t="shared" si="30"/>
        <v>273</v>
      </c>
      <c r="K45" s="4">
        <f t="shared" si="32"/>
        <v>273</v>
      </c>
      <c r="L45" s="35"/>
      <c r="M45" s="35"/>
      <c r="N45" s="2">
        <f>IF(F46="","",F46-F45)</f>
        <v>160</v>
      </c>
      <c r="O45" s="3">
        <f t="shared" si="31"/>
        <v>14</v>
      </c>
    </row>
    <row r="46" spans="1:21" hidden="1" outlineLevel="2" x14ac:dyDescent="0.3">
      <c r="A46" s="5">
        <v>42826</v>
      </c>
      <c r="B46" s="13">
        <v>0</v>
      </c>
      <c r="C46" s="35">
        <v>46669</v>
      </c>
      <c r="D46" s="35"/>
      <c r="E46" s="35"/>
      <c r="F46" s="14">
        <v>41315</v>
      </c>
      <c r="G46" s="15">
        <v>1811</v>
      </c>
      <c r="H46" s="7">
        <v>43922</v>
      </c>
      <c r="I46" s="1">
        <f t="shared" si="30"/>
        <v>0</v>
      </c>
      <c r="J46" s="32">
        <f t="shared" si="30"/>
        <v>256</v>
      </c>
      <c r="K46" s="4">
        <f t="shared" si="32"/>
        <v>256</v>
      </c>
      <c r="L46" s="35"/>
      <c r="M46" s="35"/>
      <c r="N46" s="2">
        <f>IF(F47="","",F47-F46)</f>
        <v>134</v>
      </c>
      <c r="O46" s="3">
        <f t="shared" si="31"/>
        <v>13</v>
      </c>
    </row>
    <row r="47" spans="1:21" hidden="1" outlineLevel="2" x14ac:dyDescent="0.3">
      <c r="A47" s="5">
        <v>42856</v>
      </c>
      <c r="B47" s="13">
        <v>0</v>
      </c>
      <c r="C47" s="35">
        <v>46925</v>
      </c>
      <c r="D47" s="35"/>
      <c r="E47" s="35"/>
      <c r="F47" s="14">
        <v>41449</v>
      </c>
      <c r="G47" s="15">
        <v>1824</v>
      </c>
      <c r="H47" s="7">
        <v>43952</v>
      </c>
      <c r="I47" s="1">
        <f t="shared" si="30"/>
        <v>0</v>
      </c>
      <c r="J47" s="32">
        <f t="shared" si="30"/>
        <v>247</v>
      </c>
      <c r="K47" s="4">
        <f t="shared" si="32"/>
        <v>247</v>
      </c>
      <c r="L47" s="35"/>
      <c r="M47" s="35"/>
      <c r="N47" s="2">
        <f>IF(F48="","",F48-F47)</f>
        <v>46</v>
      </c>
      <c r="O47" s="3">
        <f t="shared" si="31"/>
        <v>9</v>
      </c>
    </row>
    <row r="48" spans="1:21" hidden="1" outlineLevel="2" x14ac:dyDescent="0.3">
      <c r="A48" s="5">
        <v>42887</v>
      </c>
      <c r="B48" s="13">
        <v>0</v>
      </c>
      <c r="C48" s="35">
        <v>47172</v>
      </c>
      <c r="D48" s="35"/>
      <c r="E48" s="35"/>
      <c r="F48" s="14">
        <v>41495</v>
      </c>
      <c r="G48" s="15">
        <v>1833</v>
      </c>
      <c r="H48" s="7">
        <v>43983</v>
      </c>
      <c r="I48" s="1"/>
      <c r="J48" s="32"/>
      <c r="K48" s="4">
        <v>111</v>
      </c>
      <c r="L48" s="35"/>
      <c r="M48" s="35"/>
      <c r="N48" s="2">
        <v>8</v>
      </c>
      <c r="O48" s="3">
        <f t="shared" si="31"/>
        <v>7</v>
      </c>
      <c r="Q48" t="s">
        <v>13</v>
      </c>
    </row>
    <row r="49" spans="1:21" hidden="1" outlineLevel="2" x14ac:dyDescent="0.3">
      <c r="A49" s="5">
        <v>42917</v>
      </c>
      <c r="B49" s="20">
        <v>0</v>
      </c>
      <c r="C49" s="38">
        <v>111</v>
      </c>
      <c r="D49" s="38"/>
      <c r="E49" s="38"/>
      <c r="F49" s="29">
        <v>8</v>
      </c>
      <c r="G49" s="15">
        <v>1840</v>
      </c>
      <c r="H49" s="7">
        <v>44013</v>
      </c>
      <c r="I49" s="1">
        <f t="shared" ref="I49:J53" si="33">IF(B50="","",B50-B49)</f>
        <v>185</v>
      </c>
      <c r="J49" s="32">
        <f t="shared" si="33"/>
        <v>31</v>
      </c>
      <c r="K49" s="4">
        <f t="shared" si="32"/>
        <v>216</v>
      </c>
      <c r="L49" s="38"/>
      <c r="M49" s="38"/>
      <c r="N49" s="2">
        <f>IF(F50="","",F50-F49)</f>
        <v>12</v>
      </c>
      <c r="O49" s="3">
        <f t="shared" si="31"/>
        <v>7</v>
      </c>
    </row>
    <row r="50" spans="1:21" hidden="1" outlineLevel="2" x14ac:dyDescent="0.3">
      <c r="A50" s="5">
        <v>42948</v>
      </c>
      <c r="B50" s="13">
        <v>185</v>
      </c>
      <c r="C50" s="35">
        <v>142</v>
      </c>
      <c r="D50" s="35"/>
      <c r="E50" s="35"/>
      <c r="F50" s="14">
        <v>20</v>
      </c>
      <c r="G50" s="15">
        <v>1847</v>
      </c>
      <c r="H50" s="7">
        <v>44044</v>
      </c>
      <c r="I50" s="1">
        <f t="shared" si="33"/>
        <v>110</v>
      </c>
      <c r="J50" s="32">
        <f t="shared" si="33"/>
        <v>118</v>
      </c>
      <c r="K50" s="4">
        <f t="shared" si="32"/>
        <v>228</v>
      </c>
      <c r="L50" s="35"/>
      <c r="M50" s="35"/>
      <c r="N50" s="2">
        <f>IF(F51="","",F51-F50)</f>
        <v>14</v>
      </c>
      <c r="O50" s="3">
        <f t="shared" si="31"/>
        <v>7</v>
      </c>
    </row>
    <row r="51" spans="1:21" hidden="1" outlineLevel="2" x14ac:dyDescent="0.3">
      <c r="A51" s="5">
        <v>42979</v>
      </c>
      <c r="B51" s="21">
        <v>295</v>
      </c>
      <c r="C51" s="37">
        <v>260</v>
      </c>
      <c r="D51" s="37"/>
      <c r="E51" s="37"/>
      <c r="F51" s="14">
        <v>34</v>
      </c>
      <c r="G51" s="22">
        <v>1854</v>
      </c>
      <c r="H51" s="7">
        <v>44075</v>
      </c>
      <c r="I51" s="1">
        <f t="shared" si="33"/>
        <v>127</v>
      </c>
      <c r="J51" s="32">
        <f t="shared" si="33"/>
        <v>103</v>
      </c>
      <c r="K51" s="4">
        <f t="shared" si="32"/>
        <v>230</v>
      </c>
      <c r="L51" s="37"/>
      <c r="M51" s="37"/>
      <c r="N51" s="2">
        <f>IF(F52="","",F52-F51)</f>
        <v>43</v>
      </c>
      <c r="O51" s="3">
        <f t="shared" si="31"/>
        <v>6</v>
      </c>
    </row>
    <row r="52" spans="1:21" hidden="1" outlineLevel="2" x14ac:dyDescent="0.3">
      <c r="A52" s="5">
        <v>43009</v>
      </c>
      <c r="B52" s="13">
        <v>422</v>
      </c>
      <c r="C52" s="35">
        <v>363</v>
      </c>
      <c r="D52" s="35"/>
      <c r="E52" s="35"/>
      <c r="F52" s="14">
        <v>77</v>
      </c>
      <c r="G52" s="15">
        <v>1860</v>
      </c>
      <c r="H52" s="7">
        <v>44105</v>
      </c>
      <c r="I52" s="1">
        <f t="shared" si="33"/>
        <v>133</v>
      </c>
      <c r="J52" s="32">
        <f t="shared" si="33"/>
        <v>105</v>
      </c>
      <c r="K52" s="4">
        <f t="shared" si="32"/>
        <v>238</v>
      </c>
      <c r="L52" s="35"/>
      <c r="M52" s="35"/>
      <c r="N52" s="2">
        <f>IF(F53="","",F53-F52)</f>
        <v>108</v>
      </c>
      <c r="O52" s="3">
        <f t="shared" si="31"/>
        <v>8</v>
      </c>
      <c r="Q52" t="s">
        <v>14</v>
      </c>
    </row>
    <row r="53" spans="1:21" hidden="1" outlineLevel="2" x14ac:dyDescent="0.3">
      <c r="A53" s="5">
        <v>43040</v>
      </c>
      <c r="B53" s="13">
        <v>555</v>
      </c>
      <c r="C53" s="35">
        <v>468</v>
      </c>
      <c r="D53" s="35"/>
      <c r="E53" s="35"/>
      <c r="F53" s="14">
        <v>185</v>
      </c>
      <c r="G53" s="15">
        <v>1868</v>
      </c>
      <c r="H53" s="7">
        <v>44136</v>
      </c>
      <c r="I53" s="1">
        <f t="shared" si="33"/>
        <v>136</v>
      </c>
      <c r="J53" s="32">
        <f t="shared" si="33"/>
        <v>112</v>
      </c>
      <c r="K53" s="4">
        <f t="shared" si="32"/>
        <v>248</v>
      </c>
      <c r="L53" s="35"/>
      <c r="M53" s="35"/>
      <c r="N53" s="2">
        <f>IF(F54="","",F54-F53)</f>
        <v>185</v>
      </c>
      <c r="O53" s="3">
        <f t="shared" si="31"/>
        <v>6</v>
      </c>
      <c r="Q53" t="s">
        <v>15</v>
      </c>
    </row>
    <row r="54" spans="1:21" hidden="1" outlineLevel="2" x14ac:dyDescent="0.3">
      <c r="A54" s="5">
        <v>43070</v>
      </c>
      <c r="B54" s="13">
        <v>691</v>
      </c>
      <c r="C54" s="35">
        <v>580</v>
      </c>
      <c r="D54" s="35"/>
      <c r="E54" s="35"/>
      <c r="F54" s="14">
        <v>370</v>
      </c>
      <c r="G54" s="15">
        <v>1874</v>
      </c>
      <c r="H54" s="7">
        <v>44166</v>
      </c>
      <c r="I54" s="1">
        <f>IF(B56="","",B56-B54)</f>
        <v>170</v>
      </c>
      <c r="J54" s="32">
        <f>IF(C56="","",C56-C54)</f>
        <v>137</v>
      </c>
      <c r="K54" s="4">
        <f t="shared" si="32"/>
        <v>307</v>
      </c>
      <c r="L54" s="35"/>
      <c r="M54" s="35"/>
      <c r="N54" s="2">
        <f>IF(F56="","",F56-F54)</f>
        <v>192</v>
      </c>
      <c r="O54" s="3">
        <f>IF(G56="","",G56-G54)</f>
        <v>7</v>
      </c>
      <c r="Q54" s="65">
        <f>SUM(I43:I54)</f>
        <v>861</v>
      </c>
      <c r="R54" s="30">
        <f t="shared" ref="R54" si="34">SUM(J43:J54)</f>
        <v>1927</v>
      </c>
      <c r="S54" s="41">
        <f t="shared" ref="S54" si="35">SUM(K43:K54)</f>
        <v>2899</v>
      </c>
      <c r="T54" s="64">
        <f t="shared" ref="T54" si="36">SUM(N43:N54)</f>
        <v>1335</v>
      </c>
      <c r="U54" s="66">
        <f t="shared" ref="U54" si="37">SUM(O43:O54)</f>
        <v>109</v>
      </c>
    </row>
    <row r="55" spans="1:21" collapsed="1" x14ac:dyDescent="0.3">
      <c r="A55" s="6"/>
      <c r="B55" s="71">
        <v>2018</v>
      </c>
      <c r="C55" s="71"/>
      <c r="D55" s="71"/>
      <c r="E55" s="71"/>
      <c r="F55" s="71"/>
      <c r="G55" s="71"/>
      <c r="H55" s="6"/>
      <c r="I55" s="71">
        <v>2018</v>
      </c>
      <c r="J55" s="71"/>
      <c r="K55" s="71"/>
      <c r="L55" s="71"/>
      <c r="M55" s="71"/>
      <c r="N55" s="71"/>
      <c r="O55" s="71"/>
      <c r="Q55" s="71">
        <v>2018</v>
      </c>
      <c r="R55" s="71"/>
      <c r="S55" s="71"/>
      <c r="T55" s="71"/>
      <c r="U55" s="71"/>
    </row>
    <row r="56" spans="1:21" hidden="1" outlineLevel="1" x14ac:dyDescent="0.3">
      <c r="A56" s="5">
        <v>43101</v>
      </c>
      <c r="B56" s="13">
        <v>861</v>
      </c>
      <c r="C56" s="35">
        <v>717</v>
      </c>
      <c r="D56" s="35"/>
      <c r="E56" s="35"/>
      <c r="F56" s="14">
        <v>562</v>
      </c>
      <c r="G56" s="15">
        <v>1881</v>
      </c>
      <c r="H56" s="7">
        <v>43831</v>
      </c>
      <c r="I56" s="1">
        <f t="shared" ref="I56:I66" si="38">IF(B57="","",B57-B56)</f>
        <v>144</v>
      </c>
      <c r="J56" s="32">
        <f t="shared" ref="J56:J66" si="39">IF(C57="","",C57-C56)</f>
        <v>148</v>
      </c>
      <c r="K56" s="4">
        <f>IF(I56="","",I56+J56)</f>
        <v>292</v>
      </c>
      <c r="L56" s="35"/>
      <c r="M56" s="35"/>
      <c r="N56" s="2">
        <f t="shared" ref="N56:N66" si="40">IF(F57="","",F57-F56)</f>
        <v>197</v>
      </c>
      <c r="O56" s="3">
        <f t="shared" ref="O56:O66" si="41">IF(G57="","",G57-G56)</f>
        <v>7</v>
      </c>
    </row>
    <row r="57" spans="1:21" hidden="1" outlineLevel="1" x14ac:dyDescent="0.3">
      <c r="A57" s="5">
        <v>43132</v>
      </c>
      <c r="B57" s="13">
        <v>1005</v>
      </c>
      <c r="C57" s="35">
        <v>865</v>
      </c>
      <c r="D57" s="35"/>
      <c r="E57" s="35"/>
      <c r="F57" s="14">
        <v>759</v>
      </c>
      <c r="G57" s="15">
        <v>1888</v>
      </c>
      <c r="H57" s="7">
        <v>43862</v>
      </c>
      <c r="I57" s="1">
        <f t="shared" si="38"/>
        <v>137</v>
      </c>
      <c r="J57" s="32">
        <f t="shared" si="39"/>
        <v>153</v>
      </c>
      <c r="K57" s="4">
        <f t="shared" ref="K57:K67" si="42">IF(I57="","",I57+J57)</f>
        <v>290</v>
      </c>
      <c r="L57" s="35"/>
      <c r="M57" s="35"/>
      <c r="N57" s="2">
        <f t="shared" si="40"/>
        <v>218</v>
      </c>
      <c r="O57" s="3">
        <f t="shared" si="41"/>
        <v>6</v>
      </c>
    </row>
    <row r="58" spans="1:21" hidden="1" outlineLevel="1" x14ac:dyDescent="0.3">
      <c r="A58" s="5">
        <v>43160</v>
      </c>
      <c r="B58" s="13">
        <v>1142</v>
      </c>
      <c r="C58" s="35">
        <v>1018</v>
      </c>
      <c r="D58" s="35"/>
      <c r="E58" s="35"/>
      <c r="F58" s="14">
        <v>977</v>
      </c>
      <c r="G58" s="15">
        <v>1894</v>
      </c>
      <c r="H58" s="7">
        <v>43891</v>
      </c>
      <c r="I58" s="1">
        <f t="shared" si="38"/>
        <v>166</v>
      </c>
      <c r="J58" s="32">
        <f t="shared" si="39"/>
        <v>151</v>
      </c>
      <c r="K58" s="4">
        <f t="shared" si="42"/>
        <v>317</v>
      </c>
      <c r="L58" s="35"/>
      <c r="M58" s="35"/>
      <c r="N58" s="2">
        <f t="shared" si="40"/>
        <v>179</v>
      </c>
      <c r="O58" s="3">
        <f t="shared" si="41"/>
        <v>7</v>
      </c>
    </row>
    <row r="59" spans="1:21" hidden="1" outlineLevel="1" x14ac:dyDescent="0.3">
      <c r="A59" s="5">
        <v>43191</v>
      </c>
      <c r="B59" s="13">
        <v>1308</v>
      </c>
      <c r="C59" s="35">
        <v>1169</v>
      </c>
      <c r="D59" s="35"/>
      <c r="E59" s="35"/>
      <c r="F59" s="14">
        <v>1156</v>
      </c>
      <c r="G59" s="15">
        <v>1901</v>
      </c>
      <c r="H59" s="7">
        <v>43922</v>
      </c>
      <c r="I59" s="1">
        <f t="shared" si="38"/>
        <v>156</v>
      </c>
      <c r="J59" s="32">
        <f t="shared" si="39"/>
        <v>98</v>
      </c>
      <c r="K59" s="4">
        <f t="shared" si="42"/>
        <v>254</v>
      </c>
      <c r="L59" s="35"/>
      <c r="M59" s="35"/>
      <c r="N59" s="2">
        <f t="shared" si="40"/>
        <v>70</v>
      </c>
      <c r="O59" s="3">
        <f t="shared" si="41"/>
        <v>7</v>
      </c>
    </row>
    <row r="60" spans="1:21" hidden="1" outlineLevel="1" x14ac:dyDescent="0.3">
      <c r="A60" s="5">
        <v>43221</v>
      </c>
      <c r="B60" s="13">
        <v>1464</v>
      </c>
      <c r="C60" s="35">
        <v>1267</v>
      </c>
      <c r="D60" s="35"/>
      <c r="E60" s="35"/>
      <c r="F60" s="14">
        <v>1226</v>
      </c>
      <c r="G60" s="15">
        <v>1908</v>
      </c>
      <c r="H60" s="7">
        <v>43952</v>
      </c>
      <c r="I60" s="1">
        <f t="shared" si="38"/>
        <v>133</v>
      </c>
      <c r="J60" s="32">
        <f t="shared" si="39"/>
        <v>103</v>
      </c>
      <c r="K60" s="4">
        <f t="shared" si="42"/>
        <v>236</v>
      </c>
      <c r="L60" s="35"/>
      <c r="M60" s="35"/>
      <c r="N60" s="2">
        <f t="shared" si="40"/>
        <v>33</v>
      </c>
      <c r="O60" s="3">
        <f t="shared" si="41"/>
        <v>8</v>
      </c>
    </row>
    <row r="61" spans="1:21" hidden="1" outlineLevel="1" x14ac:dyDescent="0.3">
      <c r="A61" s="5">
        <v>43252</v>
      </c>
      <c r="B61" s="13">
        <v>1597</v>
      </c>
      <c r="C61" s="35">
        <v>1370</v>
      </c>
      <c r="D61" s="35"/>
      <c r="E61" s="35"/>
      <c r="F61" s="14">
        <v>1259</v>
      </c>
      <c r="G61" s="15">
        <v>1916</v>
      </c>
      <c r="H61" s="7">
        <v>43983</v>
      </c>
      <c r="I61" s="1">
        <f t="shared" si="38"/>
        <v>146</v>
      </c>
      <c r="J61" s="32">
        <f t="shared" si="39"/>
        <v>112</v>
      </c>
      <c r="K61" s="4">
        <f t="shared" si="42"/>
        <v>258</v>
      </c>
      <c r="L61" s="35"/>
      <c r="M61" s="35"/>
      <c r="N61" s="2">
        <f t="shared" si="40"/>
        <v>21</v>
      </c>
      <c r="O61" s="3">
        <f t="shared" si="41"/>
        <v>8</v>
      </c>
    </row>
    <row r="62" spans="1:21" hidden="1" outlineLevel="1" x14ac:dyDescent="0.3">
      <c r="A62" s="5">
        <v>43282</v>
      </c>
      <c r="B62" s="13">
        <v>1743</v>
      </c>
      <c r="C62" s="35">
        <v>1482</v>
      </c>
      <c r="D62" s="35"/>
      <c r="E62" s="35"/>
      <c r="F62" s="14">
        <v>1280</v>
      </c>
      <c r="G62" s="15">
        <v>1924</v>
      </c>
      <c r="H62" s="7">
        <v>44013</v>
      </c>
      <c r="I62" s="1">
        <f t="shared" si="38"/>
        <v>111</v>
      </c>
      <c r="J62" s="32">
        <f t="shared" si="39"/>
        <v>107</v>
      </c>
      <c r="K62" s="4">
        <f t="shared" si="42"/>
        <v>218</v>
      </c>
      <c r="L62" s="35"/>
      <c r="M62" s="35"/>
      <c r="N62" s="2">
        <f t="shared" si="40"/>
        <v>16</v>
      </c>
      <c r="O62" s="3">
        <f t="shared" si="41"/>
        <v>6</v>
      </c>
    </row>
    <row r="63" spans="1:21" hidden="1" outlineLevel="1" x14ac:dyDescent="0.3">
      <c r="A63" s="5">
        <v>43313</v>
      </c>
      <c r="B63" s="13">
        <v>1854</v>
      </c>
      <c r="C63" s="35">
        <v>1589</v>
      </c>
      <c r="D63" s="35"/>
      <c r="E63" s="35"/>
      <c r="F63" s="14">
        <v>1296</v>
      </c>
      <c r="G63" s="15">
        <v>1930</v>
      </c>
      <c r="H63" s="7">
        <v>44044</v>
      </c>
      <c r="I63" s="1">
        <f t="shared" si="38"/>
        <v>112</v>
      </c>
      <c r="J63" s="32">
        <f t="shared" si="39"/>
        <v>108</v>
      </c>
      <c r="K63" s="4">
        <f t="shared" si="42"/>
        <v>220</v>
      </c>
      <c r="L63" s="35"/>
      <c r="M63" s="35"/>
      <c r="N63" s="2">
        <f t="shared" si="40"/>
        <v>16</v>
      </c>
      <c r="O63" s="3">
        <f t="shared" si="41"/>
        <v>6</v>
      </c>
    </row>
    <row r="64" spans="1:21" hidden="1" outlineLevel="1" x14ac:dyDescent="0.3">
      <c r="A64" s="5">
        <v>43344</v>
      </c>
      <c r="B64" s="21">
        <v>1966</v>
      </c>
      <c r="C64" s="37">
        <v>1697</v>
      </c>
      <c r="D64" s="37"/>
      <c r="E64" s="37"/>
      <c r="F64" s="14">
        <v>1312</v>
      </c>
      <c r="G64" s="22">
        <v>1936</v>
      </c>
      <c r="H64" s="7">
        <v>44075</v>
      </c>
      <c r="I64" s="1">
        <f t="shared" si="38"/>
        <v>146</v>
      </c>
      <c r="J64" s="32">
        <f t="shared" si="39"/>
        <v>120</v>
      </c>
      <c r="K64" s="4">
        <f t="shared" si="42"/>
        <v>266</v>
      </c>
      <c r="L64" s="37"/>
      <c r="M64" s="37"/>
      <c r="N64" s="2">
        <f t="shared" si="40"/>
        <v>37</v>
      </c>
      <c r="O64" s="3">
        <f t="shared" si="41"/>
        <v>8</v>
      </c>
    </row>
    <row r="65" spans="1:21" hidden="1" outlineLevel="1" x14ac:dyDescent="0.3">
      <c r="A65" s="5">
        <v>43374</v>
      </c>
      <c r="B65" s="13">
        <v>2112</v>
      </c>
      <c r="C65" s="35">
        <v>1817</v>
      </c>
      <c r="D65" s="35"/>
      <c r="E65" s="35"/>
      <c r="F65" s="14">
        <v>1349</v>
      </c>
      <c r="G65" s="15">
        <v>1944</v>
      </c>
      <c r="H65" s="7">
        <v>44105</v>
      </c>
      <c r="I65" s="1">
        <f t="shared" si="38"/>
        <v>137</v>
      </c>
      <c r="J65" s="32">
        <f t="shared" si="39"/>
        <v>132</v>
      </c>
      <c r="K65" s="4">
        <f t="shared" si="42"/>
        <v>269</v>
      </c>
      <c r="L65" s="35"/>
      <c r="M65" s="35"/>
      <c r="N65" s="2">
        <f t="shared" si="40"/>
        <v>75</v>
      </c>
      <c r="O65" s="3">
        <f t="shared" si="41"/>
        <v>8</v>
      </c>
    </row>
    <row r="66" spans="1:21" hidden="1" outlineLevel="1" x14ac:dyDescent="0.3">
      <c r="A66" s="5">
        <v>43405</v>
      </c>
      <c r="B66" s="13">
        <v>2249</v>
      </c>
      <c r="C66" s="35">
        <v>1949</v>
      </c>
      <c r="D66" s="35"/>
      <c r="E66" s="35"/>
      <c r="F66" s="14">
        <v>1424</v>
      </c>
      <c r="G66" s="15">
        <v>1952</v>
      </c>
      <c r="H66" s="7">
        <v>44136</v>
      </c>
      <c r="I66" s="1">
        <f t="shared" si="38"/>
        <v>175</v>
      </c>
      <c r="J66" s="32">
        <f t="shared" si="39"/>
        <v>156</v>
      </c>
      <c r="K66" s="4">
        <f t="shared" si="42"/>
        <v>331</v>
      </c>
      <c r="L66" s="35"/>
      <c r="M66" s="35"/>
      <c r="N66" s="2">
        <f t="shared" si="40"/>
        <v>162</v>
      </c>
      <c r="O66" s="3">
        <f t="shared" si="41"/>
        <v>8</v>
      </c>
    </row>
    <row r="67" spans="1:21" hidden="1" outlineLevel="1" x14ac:dyDescent="0.3">
      <c r="A67" s="5">
        <v>43435</v>
      </c>
      <c r="B67" s="13">
        <v>2424</v>
      </c>
      <c r="C67" s="35">
        <v>2105</v>
      </c>
      <c r="D67" s="35"/>
      <c r="E67" s="35"/>
      <c r="F67" s="14">
        <v>1586</v>
      </c>
      <c r="G67" s="15">
        <v>1960</v>
      </c>
      <c r="H67" s="7">
        <v>44166</v>
      </c>
      <c r="I67" s="1">
        <f>IF(B69="","",B69-B67)</f>
        <v>220</v>
      </c>
      <c r="J67" s="32">
        <f>IF(C69="","",C69-C67)</f>
        <v>159</v>
      </c>
      <c r="K67" s="4">
        <f t="shared" si="42"/>
        <v>379</v>
      </c>
      <c r="L67" s="35"/>
      <c r="M67" s="35"/>
      <c r="N67" s="2">
        <f>IF(F69="","",F69-F67)</f>
        <v>137</v>
      </c>
      <c r="O67" s="3">
        <f>IF(G69="","",G69-G67)</f>
        <v>7</v>
      </c>
      <c r="Q67" s="65">
        <f>SUM(I56:I67)</f>
        <v>1783</v>
      </c>
      <c r="R67" s="30">
        <f t="shared" ref="R67" si="43">SUM(J56:J67)</f>
        <v>1547</v>
      </c>
      <c r="S67" s="41">
        <f t="shared" ref="S67" si="44">SUM(K56:K67)</f>
        <v>3330</v>
      </c>
      <c r="T67" s="64">
        <f t="shared" ref="T67" si="45">SUM(N56:N67)</f>
        <v>1161</v>
      </c>
      <c r="U67" s="66">
        <f t="shared" ref="U67" si="46">SUM(O56:O67)</f>
        <v>86</v>
      </c>
    </row>
    <row r="68" spans="1:21" collapsed="1" x14ac:dyDescent="0.3">
      <c r="A68" s="6"/>
      <c r="B68" s="71">
        <v>2019</v>
      </c>
      <c r="C68" s="71"/>
      <c r="D68" s="71"/>
      <c r="E68" s="71"/>
      <c r="F68" s="71"/>
      <c r="G68" s="71"/>
      <c r="H68" s="6"/>
      <c r="I68" s="71">
        <v>2019</v>
      </c>
      <c r="J68" s="71"/>
      <c r="K68" s="71"/>
      <c r="L68" s="71"/>
      <c r="M68" s="71"/>
      <c r="N68" s="71"/>
      <c r="O68" s="71"/>
      <c r="Q68" s="71">
        <v>2019</v>
      </c>
      <c r="R68" s="71"/>
      <c r="S68" s="71"/>
      <c r="T68" s="71"/>
      <c r="U68" s="71"/>
    </row>
    <row r="69" spans="1:21" hidden="1" outlineLevel="2" x14ac:dyDescent="0.3">
      <c r="A69" s="5">
        <v>43466</v>
      </c>
      <c r="B69" s="1">
        <v>2644</v>
      </c>
      <c r="C69" s="32">
        <v>2264</v>
      </c>
      <c r="D69" s="32"/>
      <c r="E69" s="32"/>
      <c r="F69" s="2">
        <v>1723</v>
      </c>
      <c r="G69" s="3">
        <v>1967</v>
      </c>
      <c r="H69" s="7">
        <v>43831</v>
      </c>
      <c r="I69" s="1">
        <f t="shared" ref="I69:I79" si="47">IF(B70="","",B70-B69)</f>
        <v>151</v>
      </c>
      <c r="J69" s="32">
        <f t="shared" ref="J69:J79" si="48">IF(C70="","",C70-C69)</f>
        <v>192</v>
      </c>
      <c r="K69" s="4">
        <f>IF(I69="","",I69+J69)</f>
        <v>343</v>
      </c>
      <c r="L69" s="32"/>
      <c r="M69" s="32"/>
      <c r="N69" s="2">
        <f t="shared" ref="N69:N79" si="49">IF(F70="","",F70-F69)</f>
        <v>263</v>
      </c>
      <c r="O69" s="3">
        <f t="shared" ref="O69:O79" si="50">IF(G70="","",G70-G69)</f>
        <v>8</v>
      </c>
    </row>
    <row r="70" spans="1:21" hidden="1" outlineLevel="2" x14ac:dyDescent="0.3">
      <c r="A70" s="5">
        <v>43497</v>
      </c>
      <c r="B70" s="1">
        <v>2795</v>
      </c>
      <c r="C70" s="32">
        <v>2456</v>
      </c>
      <c r="D70" s="32"/>
      <c r="E70" s="32"/>
      <c r="F70" s="2">
        <v>1986</v>
      </c>
      <c r="G70" s="8">
        <v>1975</v>
      </c>
      <c r="H70" s="7">
        <v>43862</v>
      </c>
      <c r="I70" s="1">
        <f t="shared" si="47"/>
        <v>153</v>
      </c>
      <c r="J70" s="32">
        <f t="shared" si="48"/>
        <v>150</v>
      </c>
      <c r="K70" s="4">
        <f t="shared" ref="K70:K80" si="51">IF(I70="","",I70+J70)</f>
        <v>303</v>
      </c>
      <c r="L70" s="32"/>
      <c r="M70" s="32"/>
      <c r="N70" s="2">
        <f t="shared" si="49"/>
        <v>163</v>
      </c>
      <c r="O70" s="3">
        <f t="shared" si="50"/>
        <v>7</v>
      </c>
    </row>
    <row r="71" spans="1:21" hidden="1" outlineLevel="2" x14ac:dyDescent="0.3">
      <c r="A71" s="5">
        <v>43525</v>
      </c>
      <c r="B71" s="1">
        <v>2948</v>
      </c>
      <c r="C71" s="32">
        <v>2606</v>
      </c>
      <c r="D71" s="32"/>
      <c r="E71" s="32"/>
      <c r="F71" s="2">
        <v>2149</v>
      </c>
      <c r="G71" s="8">
        <v>1982</v>
      </c>
      <c r="H71" s="7">
        <v>43891</v>
      </c>
      <c r="I71" s="1">
        <f t="shared" si="47"/>
        <v>169</v>
      </c>
      <c r="J71" s="32">
        <f t="shared" si="48"/>
        <v>167</v>
      </c>
      <c r="K71" s="4">
        <f t="shared" si="51"/>
        <v>336</v>
      </c>
      <c r="L71" s="32"/>
      <c r="M71" s="32"/>
      <c r="N71" s="2">
        <f t="shared" si="49"/>
        <v>150</v>
      </c>
      <c r="O71" s="3">
        <f t="shared" si="50"/>
        <v>11</v>
      </c>
    </row>
    <row r="72" spans="1:21" hidden="1" outlineLevel="2" x14ac:dyDescent="0.3">
      <c r="A72" s="5">
        <v>43556</v>
      </c>
      <c r="B72" s="1">
        <v>3117</v>
      </c>
      <c r="C72" s="32">
        <v>2773</v>
      </c>
      <c r="D72" s="32"/>
      <c r="E72" s="32"/>
      <c r="F72" s="2">
        <v>2299</v>
      </c>
      <c r="G72" s="8">
        <v>1993</v>
      </c>
      <c r="H72" s="7">
        <v>43922</v>
      </c>
      <c r="I72" s="1">
        <f t="shared" si="47"/>
        <v>135</v>
      </c>
      <c r="J72" s="32">
        <f t="shared" si="48"/>
        <v>125</v>
      </c>
      <c r="K72" s="4">
        <f t="shared" si="51"/>
        <v>260</v>
      </c>
      <c r="L72" s="32"/>
      <c r="M72" s="32"/>
      <c r="N72" s="2">
        <f t="shared" si="49"/>
        <v>98</v>
      </c>
      <c r="O72" s="3">
        <f t="shared" si="50"/>
        <v>8</v>
      </c>
    </row>
    <row r="73" spans="1:21" hidden="1" outlineLevel="2" x14ac:dyDescent="0.3">
      <c r="A73" s="5">
        <v>43586</v>
      </c>
      <c r="B73" s="1">
        <v>3252</v>
      </c>
      <c r="C73" s="32">
        <v>2898</v>
      </c>
      <c r="D73" s="32"/>
      <c r="E73" s="32"/>
      <c r="F73" s="2">
        <v>2397</v>
      </c>
      <c r="G73" s="8">
        <v>2001</v>
      </c>
      <c r="H73" s="7">
        <v>43952</v>
      </c>
      <c r="I73" s="1">
        <f t="shared" si="47"/>
        <v>137</v>
      </c>
      <c r="J73" s="32">
        <f t="shared" si="48"/>
        <v>103</v>
      </c>
      <c r="K73" s="4">
        <f t="shared" si="51"/>
        <v>240</v>
      </c>
      <c r="L73" s="32"/>
      <c r="M73" s="32"/>
      <c r="N73" s="2">
        <f t="shared" si="49"/>
        <v>51</v>
      </c>
      <c r="O73" s="3">
        <f t="shared" si="50"/>
        <v>7</v>
      </c>
    </row>
    <row r="74" spans="1:21" hidden="1" outlineLevel="2" x14ac:dyDescent="0.3">
      <c r="A74" s="5">
        <v>43617</v>
      </c>
      <c r="B74" s="9">
        <v>3389</v>
      </c>
      <c r="C74" s="33">
        <v>3001</v>
      </c>
      <c r="D74" s="33"/>
      <c r="E74" s="33"/>
      <c r="F74" s="10">
        <v>2448</v>
      </c>
      <c r="G74" s="11">
        <v>2008</v>
      </c>
      <c r="H74" s="7">
        <v>43983</v>
      </c>
      <c r="I74" s="1">
        <f t="shared" si="47"/>
        <v>138</v>
      </c>
      <c r="J74" s="32">
        <f t="shared" si="48"/>
        <v>103</v>
      </c>
      <c r="K74" s="4">
        <f t="shared" si="51"/>
        <v>241</v>
      </c>
      <c r="L74" s="33"/>
      <c r="M74" s="33"/>
      <c r="N74" s="2">
        <f t="shared" si="49"/>
        <v>52</v>
      </c>
      <c r="O74" s="3">
        <f t="shared" si="50"/>
        <v>8</v>
      </c>
    </row>
    <row r="75" spans="1:21" hidden="1" outlineLevel="2" x14ac:dyDescent="0.3">
      <c r="A75" s="5">
        <v>43647</v>
      </c>
      <c r="B75" s="12">
        <v>3527</v>
      </c>
      <c r="C75" s="34">
        <v>3104</v>
      </c>
      <c r="D75" s="34"/>
      <c r="E75" s="34"/>
      <c r="F75" s="10">
        <v>2500</v>
      </c>
      <c r="G75" s="11">
        <v>2016</v>
      </c>
      <c r="H75" s="7">
        <v>44013</v>
      </c>
      <c r="I75" s="1">
        <f t="shared" si="47"/>
        <v>146</v>
      </c>
      <c r="J75" s="32">
        <f t="shared" si="48"/>
        <v>112</v>
      </c>
      <c r="K75" s="4">
        <f t="shared" si="51"/>
        <v>258</v>
      </c>
      <c r="L75" s="34"/>
      <c r="M75" s="34"/>
      <c r="N75" s="2">
        <f t="shared" si="49"/>
        <v>21</v>
      </c>
      <c r="O75" s="3">
        <f t="shared" si="50"/>
        <v>8</v>
      </c>
    </row>
    <row r="76" spans="1:21" hidden="1" outlineLevel="2" x14ac:dyDescent="0.3">
      <c r="A76" s="5">
        <v>43678</v>
      </c>
      <c r="B76" s="13">
        <v>3673</v>
      </c>
      <c r="C76" s="35">
        <v>3216</v>
      </c>
      <c r="D76" s="35"/>
      <c r="E76" s="35"/>
      <c r="F76" s="14">
        <v>2521</v>
      </c>
      <c r="G76" s="15">
        <v>2024</v>
      </c>
      <c r="H76" s="7">
        <v>44044</v>
      </c>
      <c r="I76" s="1">
        <f t="shared" si="47"/>
        <v>119</v>
      </c>
      <c r="J76" s="32">
        <f t="shared" si="48"/>
        <v>105</v>
      </c>
      <c r="K76" s="4">
        <f t="shared" si="51"/>
        <v>224</v>
      </c>
      <c r="L76" s="35"/>
      <c r="M76" s="35"/>
      <c r="N76" s="2">
        <f t="shared" si="49"/>
        <v>31</v>
      </c>
      <c r="O76" s="3">
        <f t="shared" si="50"/>
        <v>6</v>
      </c>
    </row>
    <row r="77" spans="1:21" hidden="1" outlineLevel="2" x14ac:dyDescent="0.3">
      <c r="A77" s="5">
        <v>43709</v>
      </c>
      <c r="B77" s="16">
        <v>3792</v>
      </c>
      <c r="C77" s="36">
        <v>3321</v>
      </c>
      <c r="D77" s="36"/>
      <c r="E77" s="36"/>
      <c r="F77" s="10">
        <v>2552</v>
      </c>
      <c r="G77" s="17">
        <v>2030</v>
      </c>
      <c r="H77" s="7">
        <v>44075</v>
      </c>
      <c r="I77" s="1">
        <f t="shared" si="47"/>
        <v>119</v>
      </c>
      <c r="J77" s="32">
        <f t="shared" si="48"/>
        <v>106</v>
      </c>
      <c r="K77" s="4">
        <f t="shared" si="51"/>
        <v>225</v>
      </c>
      <c r="L77" s="36"/>
      <c r="M77" s="36"/>
      <c r="N77" s="2">
        <f t="shared" si="49"/>
        <v>32</v>
      </c>
      <c r="O77" s="3">
        <f t="shared" si="50"/>
        <v>7</v>
      </c>
    </row>
    <row r="78" spans="1:21" hidden="1" outlineLevel="2" x14ac:dyDescent="0.3">
      <c r="A78" s="5">
        <v>43739</v>
      </c>
      <c r="B78" s="1">
        <v>3911</v>
      </c>
      <c r="C78" s="32">
        <v>3427</v>
      </c>
      <c r="D78" s="32"/>
      <c r="E78" s="32"/>
      <c r="F78" s="2">
        <v>2584</v>
      </c>
      <c r="G78" s="8">
        <v>2037</v>
      </c>
      <c r="H78" s="7">
        <v>44105</v>
      </c>
      <c r="I78" s="1">
        <f t="shared" si="47"/>
        <v>127</v>
      </c>
      <c r="J78" s="32">
        <f t="shared" si="48"/>
        <v>124</v>
      </c>
      <c r="K78" s="4">
        <f t="shared" si="51"/>
        <v>251</v>
      </c>
      <c r="L78" s="32"/>
      <c r="M78" s="32"/>
      <c r="N78" s="2">
        <f t="shared" si="49"/>
        <v>106</v>
      </c>
      <c r="O78" s="3">
        <f t="shared" si="50"/>
        <v>9</v>
      </c>
    </row>
    <row r="79" spans="1:21" hidden="1" outlineLevel="2" x14ac:dyDescent="0.3">
      <c r="A79" s="5">
        <v>43770</v>
      </c>
      <c r="B79" s="1">
        <v>4038</v>
      </c>
      <c r="C79" s="32">
        <v>3551</v>
      </c>
      <c r="D79" s="32"/>
      <c r="E79" s="32"/>
      <c r="F79" s="2">
        <v>2690</v>
      </c>
      <c r="G79" s="8">
        <v>2046</v>
      </c>
      <c r="H79" s="7">
        <v>44136</v>
      </c>
      <c r="I79" s="1">
        <f t="shared" si="47"/>
        <v>186</v>
      </c>
      <c r="J79" s="32">
        <f t="shared" si="48"/>
        <v>138</v>
      </c>
      <c r="K79" s="4">
        <f t="shared" si="51"/>
        <v>324</v>
      </c>
      <c r="L79" s="32"/>
      <c r="M79" s="32"/>
      <c r="N79" s="2">
        <f t="shared" si="49"/>
        <v>167</v>
      </c>
      <c r="O79" s="3">
        <f t="shared" si="50"/>
        <v>8</v>
      </c>
    </row>
    <row r="80" spans="1:21" hidden="1" outlineLevel="2" x14ac:dyDescent="0.3">
      <c r="A80" s="5">
        <v>43800</v>
      </c>
      <c r="B80" s="1">
        <v>4224</v>
      </c>
      <c r="C80" s="32">
        <v>3689</v>
      </c>
      <c r="D80" s="32"/>
      <c r="E80" s="32"/>
      <c r="F80" s="2">
        <v>2857</v>
      </c>
      <c r="G80" s="8">
        <v>2054</v>
      </c>
      <c r="H80" s="7">
        <v>44166</v>
      </c>
      <c r="I80" s="1">
        <f>IF(B82="","",B82-B80)</f>
        <v>216</v>
      </c>
      <c r="J80" s="32">
        <f>IF(C82="","",C82-C80)</f>
        <v>196</v>
      </c>
      <c r="K80" s="4">
        <f t="shared" si="51"/>
        <v>412</v>
      </c>
      <c r="L80" s="32"/>
      <c r="M80" s="32"/>
      <c r="N80" s="2">
        <f>IF(F82="","",F82-F80)</f>
        <v>182</v>
      </c>
      <c r="O80" s="3">
        <f>IF(G82="","",G82-G80)</f>
        <v>10</v>
      </c>
      <c r="Q80" s="65">
        <f>SUM(I69:I80)</f>
        <v>1796</v>
      </c>
      <c r="R80" s="30">
        <f t="shared" ref="R80" si="52">SUM(J69:J80)</f>
        <v>1621</v>
      </c>
      <c r="S80" s="41">
        <f t="shared" ref="S80" si="53">SUM(K69:K80)</f>
        <v>3417</v>
      </c>
      <c r="T80" s="64">
        <f t="shared" ref="T80" si="54">SUM(N69:N80)</f>
        <v>1316</v>
      </c>
      <c r="U80" s="66">
        <f t="shared" ref="U80" si="55">SUM(O69:O80)</f>
        <v>97</v>
      </c>
    </row>
    <row r="81" spans="1:21" collapsed="1" x14ac:dyDescent="0.3">
      <c r="A81" s="6"/>
      <c r="B81" s="71">
        <v>2020</v>
      </c>
      <c r="C81" s="71"/>
      <c r="D81" s="71"/>
      <c r="E81" s="71"/>
      <c r="F81" s="71"/>
      <c r="G81" s="71"/>
      <c r="H81" s="6"/>
      <c r="I81" s="71">
        <v>2020</v>
      </c>
      <c r="J81" s="71"/>
      <c r="K81" s="71"/>
      <c r="L81" s="71"/>
      <c r="M81" s="71"/>
      <c r="N81" s="71"/>
      <c r="O81" s="71"/>
      <c r="Q81" s="71">
        <v>2020</v>
      </c>
      <c r="R81" s="71"/>
      <c r="S81" s="71"/>
      <c r="T81" s="71"/>
      <c r="U81" s="71"/>
    </row>
    <row r="82" spans="1:21" hidden="1" outlineLevel="1" x14ac:dyDescent="0.3">
      <c r="A82" s="5">
        <v>43831</v>
      </c>
      <c r="B82" s="1">
        <v>4440</v>
      </c>
      <c r="C82" s="32">
        <v>3885</v>
      </c>
      <c r="D82" s="32"/>
      <c r="E82" s="32"/>
      <c r="F82" s="2">
        <v>3039</v>
      </c>
      <c r="G82" s="3">
        <v>2064</v>
      </c>
      <c r="H82" s="7">
        <v>43831</v>
      </c>
      <c r="I82" s="1">
        <f t="shared" ref="I82:I92" si="56">IF(B83="","",B83-B82)</f>
        <v>178</v>
      </c>
      <c r="J82" s="32">
        <f t="shared" ref="J82:J92" si="57">IF(C83="","",C83-C82)</f>
        <v>175</v>
      </c>
      <c r="K82" s="4">
        <f>IF(I82="","",I82+J82)</f>
        <v>353</v>
      </c>
      <c r="L82" s="32"/>
      <c r="M82" s="32"/>
      <c r="N82" s="2">
        <f t="shared" ref="N82:N92" si="58">IF(F83="","",F83-F82)</f>
        <v>195</v>
      </c>
      <c r="O82" s="3">
        <f t="shared" ref="O82:O92" si="59">IF(G83="","",G83-G82)</f>
        <v>8</v>
      </c>
    </row>
    <row r="83" spans="1:21" hidden="1" outlineLevel="1" x14ac:dyDescent="0.3">
      <c r="A83" s="5">
        <v>43862</v>
      </c>
      <c r="B83" s="1">
        <v>4618</v>
      </c>
      <c r="C83" s="32">
        <v>4060</v>
      </c>
      <c r="D83" s="32"/>
      <c r="E83" s="32"/>
      <c r="F83" s="2">
        <v>3234</v>
      </c>
      <c r="G83" s="3">
        <v>2072</v>
      </c>
      <c r="H83" s="7">
        <v>43862</v>
      </c>
      <c r="I83" s="1">
        <f t="shared" si="56"/>
        <v>176</v>
      </c>
      <c r="J83" s="32">
        <f t="shared" si="57"/>
        <v>197</v>
      </c>
      <c r="K83" s="4">
        <f t="shared" ref="K83:K93" si="60">IF(I83="","",I83+J83)</f>
        <v>373</v>
      </c>
      <c r="L83" s="32"/>
      <c r="M83" s="32"/>
      <c r="N83" s="2">
        <f t="shared" si="58"/>
        <v>218</v>
      </c>
      <c r="O83" s="3">
        <f t="shared" si="59"/>
        <v>9</v>
      </c>
    </row>
    <row r="84" spans="1:21" hidden="1" outlineLevel="1" x14ac:dyDescent="0.3">
      <c r="A84" s="5">
        <v>43901</v>
      </c>
      <c r="B84" s="1">
        <v>4794</v>
      </c>
      <c r="C84" s="32">
        <v>4257</v>
      </c>
      <c r="D84" s="32"/>
      <c r="E84" s="32"/>
      <c r="F84" s="2">
        <v>3452</v>
      </c>
      <c r="G84" s="17">
        <v>2081</v>
      </c>
      <c r="H84" s="7">
        <v>43891</v>
      </c>
      <c r="I84" s="1">
        <f t="shared" si="56"/>
        <v>126</v>
      </c>
      <c r="J84" s="32">
        <f t="shared" si="57"/>
        <v>188</v>
      </c>
      <c r="K84" s="4">
        <f t="shared" si="60"/>
        <v>314</v>
      </c>
      <c r="L84" s="32"/>
      <c r="M84" s="32"/>
      <c r="N84" s="2">
        <f t="shared" si="58"/>
        <v>110</v>
      </c>
      <c r="O84" s="3">
        <f t="shared" si="59"/>
        <v>10</v>
      </c>
      <c r="Q84" t="s">
        <v>16</v>
      </c>
    </row>
    <row r="85" spans="1:21" hidden="1" outlineLevel="1" x14ac:dyDescent="0.3">
      <c r="A85" s="5">
        <v>43932</v>
      </c>
      <c r="B85" s="1">
        <v>4920</v>
      </c>
      <c r="C85" s="32">
        <v>4445</v>
      </c>
      <c r="D85" s="32"/>
      <c r="E85" s="32"/>
      <c r="F85" s="2">
        <v>3562</v>
      </c>
      <c r="G85" s="17">
        <v>2091</v>
      </c>
      <c r="H85" s="7">
        <v>43922</v>
      </c>
      <c r="I85" s="1">
        <f t="shared" si="56"/>
        <v>140</v>
      </c>
      <c r="J85" s="32">
        <f t="shared" si="57"/>
        <v>103</v>
      </c>
      <c r="K85" s="4">
        <f t="shared" si="60"/>
        <v>243</v>
      </c>
      <c r="L85" s="32"/>
      <c r="M85" s="32"/>
      <c r="N85" s="2">
        <f t="shared" si="58"/>
        <v>73</v>
      </c>
      <c r="O85" s="3">
        <f t="shared" si="59"/>
        <v>10</v>
      </c>
    </row>
    <row r="86" spans="1:21" hidden="1" outlineLevel="1" x14ac:dyDescent="0.3">
      <c r="A86" s="5">
        <v>43962</v>
      </c>
      <c r="B86" s="1">
        <v>5060</v>
      </c>
      <c r="C86" s="32">
        <v>4548</v>
      </c>
      <c r="D86" s="32"/>
      <c r="E86" s="32"/>
      <c r="F86" s="2">
        <v>3635</v>
      </c>
      <c r="G86" s="17">
        <v>2101</v>
      </c>
      <c r="H86" s="7">
        <v>43952</v>
      </c>
      <c r="I86" s="1">
        <f t="shared" si="56"/>
        <v>133</v>
      </c>
      <c r="J86" s="32">
        <f t="shared" si="57"/>
        <v>117</v>
      </c>
      <c r="K86" s="4">
        <f t="shared" si="60"/>
        <v>250</v>
      </c>
      <c r="L86" s="32"/>
      <c r="M86" s="32"/>
      <c r="N86" s="2">
        <f t="shared" si="58"/>
        <v>46</v>
      </c>
      <c r="O86" s="3">
        <f t="shared" si="59"/>
        <v>8</v>
      </c>
    </row>
    <row r="87" spans="1:21" hidden="1" outlineLevel="1" x14ac:dyDescent="0.3">
      <c r="A87" s="5">
        <v>43993</v>
      </c>
      <c r="B87" s="1">
        <v>5193</v>
      </c>
      <c r="C87" s="32">
        <v>4665</v>
      </c>
      <c r="D87" s="32"/>
      <c r="E87" s="32"/>
      <c r="F87" s="2">
        <v>3681</v>
      </c>
      <c r="G87" s="17">
        <v>2109</v>
      </c>
      <c r="H87" s="7">
        <v>43983</v>
      </c>
      <c r="I87" s="1">
        <f t="shared" si="56"/>
        <v>116</v>
      </c>
      <c r="J87" s="32">
        <f t="shared" si="57"/>
        <v>116</v>
      </c>
      <c r="K87" s="4">
        <f t="shared" si="60"/>
        <v>232</v>
      </c>
      <c r="L87" s="32"/>
      <c r="M87" s="32"/>
      <c r="N87" s="2">
        <f t="shared" si="58"/>
        <v>23</v>
      </c>
      <c r="O87" s="3">
        <f t="shared" si="59"/>
        <v>9</v>
      </c>
    </row>
    <row r="88" spans="1:21" hidden="1" outlineLevel="1" x14ac:dyDescent="0.3">
      <c r="A88" s="5">
        <v>44023</v>
      </c>
      <c r="B88" s="1">
        <v>5309</v>
      </c>
      <c r="C88" s="32">
        <v>4781</v>
      </c>
      <c r="D88" s="32"/>
      <c r="E88" s="32"/>
      <c r="F88" s="2">
        <v>3704</v>
      </c>
      <c r="G88" s="17">
        <v>2118</v>
      </c>
      <c r="H88" s="7">
        <v>44013</v>
      </c>
      <c r="I88" s="1">
        <f t="shared" si="56"/>
        <v>128</v>
      </c>
      <c r="J88" s="32">
        <f t="shared" si="57"/>
        <v>111</v>
      </c>
      <c r="K88" s="4">
        <f t="shared" si="60"/>
        <v>239</v>
      </c>
      <c r="L88" s="32"/>
      <c r="M88" s="32"/>
      <c r="N88" s="2">
        <f t="shared" si="58"/>
        <v>23</v>
      </c>
      <c r="O88" s="3">
        <f t="shared" si="59"/>
        <v>10</v>
      </c>
    </row>
    <row r="89" spans="1:21" hidden="1" outlineLevel="1" x14ac:dyDescent="0.3">
      <c r="A89" s="5">
        <v>44054</v>
      </c>
      <c r="B89" s="1">
        <v>5437</v>
      </c>
      <c r="C89" s="32">
        <v>4892</v>
      </c>
      <c r="D89" s="32"/>
      <c r="E89" s="32"/>
      <c r="F89" s="2">
        <v>3727</v>
      </c>
      <c r="G89" s="17">
        <v>2128</v>
      </c>
      <c r="H89" s="7">
        <v>44044</v>
      </c>
      <c r="I89" s="1">
        <f t="shared" si="56"/>
        <v>133</v>
      </c>
      <c r="J89" s="32">
        <f t="shared" si="57"/>
        <v>125</v>
      </c>
      <c r="K89" s="4">
        <f t="shared" si="60"/>
        <v>258</v>
      </c>
      <c r="L89" s="32"/>
      <c r="M89" s="32"/>
      <c r="N89" s="2">
        <f t="shared" si="58"/>
        <v>27</v>
      </c>
      <c r="O89" s="3">
        <f t="shared" si="59"/>
        <v>11</v>
      </c>
    </row>
    <row r="90" spans="1:21" hidden="1" outlineLevel="1" x14ac:dyDescent="0.3">
      <c r="A90" s="5">
        <v>44085</v>
      </c>
      <c r="B90" s="1">
        <v>5570</v>
      </c>
      <c r="C90" s="32">
        <v>5017</v>
      </c>
      <c r="D90" s="32"/>
      <c r="E90" s="32"/>
      <c r="F90" s="2">
        <v>3754</v>
      </c>
      <c r="G90" s="17">
        <v>2139</v>
      </c>
      <c r="H90" s="7">
        <v>44075</v>
      </c>
      <c r="I90" s="1">
        <f t="shared" si="56"/>
        <v>124</v>
      </c>
      <c r="J90" s="32">
        <f t="shared" si="57"/>
        <v>107</v>
      </c>
      <c r="K90" s="4">
        <f t="shared" si="60"/>
        <v>231</v>
      </c>
      <c r="L90" s="32"/>
      <c r="M90" s="32"/>
      <c r="N90" s="2">
        <f t="shared" si="58"/>
        <v>58</v>
      </c>
      <c r="O90" s="3">
        <f t="shared" si="59"/>
        <v>9</v>
      </c>
    </row>
    <row r="91" spans="1:21" hidden="1" outlineLevel="1" x14ac:dyDescent="0.3">
      <c r="A91" s="5">
        <v>44115</v>
      </c>
      <c r="B91" s="1">
        <v>5694</v>
      </c>
      <c r="C91" s="32">
        <v>5124</v>
      </c>
      <c r="D91" s="32"/>
      <c r="E91" s="32"/>
      <c r="F91" s="2">
        <v>3812</v>
      </c>
      <c r="G91" s="17">
        <v>2148</v>
      </c>
      <c r="H91" s="7">
        <v>44105</v>
      </c>
      <c r="I91" s="1">
        <f t="shared" si="56"/>
        <v>154</v>
      </c>
      <c r="J91" s="32">
        <f t="shared" si="57"/>
        <v>162</v>
      </c>
      <c r="K91" s="4">
        <f t="shared" si="60"/>
        <v>316</v>
      </c>
      <c r="L91" s="32"/>
      <c r="M91" s="32"/>
      <c r="N91" s="2">
        <f t="shared" si="58"/>
        <v>124</v>
      </c>
      <c r="O91" s="3">
        <f t="shared" si="59"/>
        <v>9</v>
      </c>
    </row>
    <row r="92" spans="1:21" hidden="1" outlineLevel="1" x14ac:dyDescent="0.3">
      <c r="A92" s="5">
        <v>44146</v>
      </c>
      <c r="B92" s="1">
        <v>5848</v>
      </c>
      <c r="C92" s="32">
        <v>5286</v>
      </c>
      <c r="D92" s="32"/>
      <c r="E92" s="32"/>
      <c r="F92" s="2">
        <v>3936</v>
      </c>
      <c r="G92" s="17">
        <v>2157</v>
      </c>
      <c r="H92" s="7">
        <v>44136</v>
      </c>
      <c r="I92" s="1">
        <f t="shared" si="56"/>
        <v>163</v>
      </c>
      <c r="J92" s="32">
        <f t="shared" si="57"/>
        <v>196</v>
      </c>
      <c r="K92" s="4">
        <f t="shared" si="60"/>
        <v>359</v>
      </c>
      <c r="L92" s="32"/>
      <c r="M92" s="32"/>
      <c r="N92" s="2">
        <f t="shared" si="58"/>
        <v>167</v>
      </c>
      <c r="O92" s="3">
        <f t="shared" si="59"/>
        <v>10</v>
      </c>
    </row>
    <row r="93" spans="1:21" hidden="1" outlineLevel="1" x14ac:dyDescent="0.3">
      <c r="A93" s="5">
        <v>44176</v>
      </c>
      <c r="B93" s="1">
        <v>6011</v>
      </c>
      <c r="C93" s="32">
        <v>5482</v>
      </c>
      <c r="D93" s="32"/>
      <c r="E93" s="32"/>
      <c r="F93" s="2">
        <v>4103</v>
      </c>
      <c r="G93" s="17">
        <v>2167</v>
      </c>
      <c r="H93" s="7">
        <v>44166</v>
      </c>
      <c r="I93" s="1">
        <f>IF(B95="","",B95-B93)</f>
        <v>207</v>
      </c>
      <c r="J93" s="32">
        <f>IF(C95="","",C95-C93)</f>
        <v>196</v>
      </c>
      <c r="K93" s="4">
        <f t="shared" si="60"/>
        <v>403</v>
      </c>
      <c r="L93" s="32"/>
      <c r="M93" s="32"/>
      <c r="N93" s="2">
        <f>IF(F95="","",F95-F93)</f>
        <v>202</v>
      </c>
      <c r="O93" s="3">
        <f>IF(G95="","",G95-G93)</f>
        <v>9</v>
      </c>
      <c r="Q93" s="65">
        <f>SUM(I82:I93)</f>
        <v>1778</v>
      </c>
      <c r="R93" s="30">
        <f>SUM(J82:J93)</f>
        <v>1793</v>
      </c>
      <c r="S93" s="41">
        <f>SUM(K82:K93)</f>
        <v>3571</v>
      </c>
      <c r="T93" s="64">
        <f t="shared" ref="T93:U93" si="61">SUM(N82:N93)</f>
        <v>1266</v>
      </c>
      <c r="U93" s="66">
        <f t="shared" si="61"/>
        <v>112</v>
      </c>
    </row>
    <row r="94" spans="1:21" collapsed="1" x14ac:dyDescent="0.3">
      <c r="A94" s="6"/>
      <c r="B94" s="71">
        <v>2021</v>
      </c>
      <c r="C94" s="71"/>
      <c r="D94" s="71"/>
      <c r="E94" s="71"/>
      <c r="F94" s="71"/>
      <c r="G94" s="71"/>
      <c r="H94" s="6"/>
      <c r="I94" s="71">
        <v>2021</v>
      </c>
      <c r="J94" s="71"/>
      <c r="K94" s="71"/>
      <c r="L94" s="71"/>
      <c r="M94" s="71"/>
      <c r="N94" s="71"/>
      <c r="O94" s="71"/>
      <c r="Q94" s="71">
        <v>2021</v>
      </c>
      <c r="R94" s="71"/>
      <c r="S94" s="71"/>
      <c r="T94" s="71"/>
      <c r="U94" s="71"/>
    </row>
    <row r="95" spans="1:21" hidden="1" outlineLevel="2" x14ac:dyDescent="0.3">
      <c r="A95" s="5">
        <v>44207</v>
      </c>
      <c r="B95" s="1">
        <v>6218</v>
      </c>
      <c r="C95" s="32">
        <v>5678</v>
      </c>
      <c r="D95" s="32"/>
      <c r="E95" s="32"/>
      <c r="F95" s="2">
        <v>4305</v>
      </c>
      <c r="G95" s="17">
        <f>G93+9</f>
        <v>2176</v>
      </c>
      <c r="H95" s="7">
        <f t="shared" ref="H95:H106" si="62">A95</f>
        <v>44207</v>
      </c>
      <c r="I95" s="1">
        <f>IF(B96="","",B96-B95)</f>
        <v>84</v>
      </c>
      <c r="J95" s="32">
        <f>IF(C96="","",C96-C95)</f>
        <v>115</v>
      </c>
      <c r="K95" s="4">
        <f>IF(I95="","",I95+J95)</f>
        <v>199</v>
      </c>
      <c r="L95" s="32"/>
      <c r="M95" s="32"/>
      <c r="N95" s="2" t="str">
        <f>IF(F96="","",F96-F95)</f>
        <v/>
      </c>
      <c r="O95" s="3">
        <f t="shared" ref="O95:O105" si="63">IF(G96="","",G96-G95)</f>
        <v>9</v>
      </c>
    </row>
    <row r="96" spans="1:21" hidden="1" outlineLevel="2" x14ac:dyDescent="0.3">
      <c r="A96" s="5">
        <v>44228</v>
      </c>
      <c r="B96" s="1">
        <v>6302</v>
      </c>
      <c r="C96" s="32">
        <v>5793</v>
      </c>
      <c r="D96" s="32"/>
      <c r="E96" s="32"/>
      <c r="F96" s="18"/>
      <c r="G96" s="17">
        <f>G95+9</f>
        <v>2185</v>
      </c>
      <c r="H96" s="7">
        <f t="shared" si="62"/>
        <v>44228</v>
      </c>
      <c r="I96" s="1"/>
      <c r="J96" s="32"/>
      <c r="K96" s="4" t="str">
        <f t="shared" ref="K96:K106" si="64">IF(I96="","",I96+J96)</f>
        <v/>
      </c>
      <c r="L96" s="32"/>
      <c r="M96" s="32"/>
      <c r="N96" s="2" t="str">
        <f>IF(F97="","",F97-F96)</f>
        <v/>
      </c>
      <c r="O96" s="3">
        <f t="shared" si="63"/>
        <v>9</v>
      </c>
      <c r="Q96" t="s">
        <v>17</v>
      </c>
    </row>
    <row r="97" spans="1:21" hidden="1" outlineLevel="2" x14ac:dyDescent="0.3">
      <c r="A97" s="5">
        <v>44256</v>
      </c>
      <c r="B97" s="1">
        <v>0</v>
      </c>
      <c r="C97" s="32">
        <v>0</v>
      </c>
      <c r="D97" s="32"/>
      <c r="E97" s="32"/>
      <c r="F97" s="18"/>
      <c r="G97" s="17">
        <f t="shared" ref="G97:G99" si="65">G96+9</f>
        <v>2194</v>
      </c>
      <c r="H97" s="7">
        <f t="shared" si="62"/>
        <v>44256</v>
      </c>
      <c r="I97" s="1" t="str">
        <f t="shared" ref="I97:I105" si="66">IF(B98="","",B98-B97)</f>
        <v/>
      </c>
      <c r="J97" s="32" t="str">
        <f t="shared" ref="J97:J105" si="67">IF(C98="","",C98-C97)</f>
        <v/>
      </c>
      <c r="K97" s="4" t="str">
        <f t="shared" si="64"/>
        <v/>
      </c>
      <c r="L97" s="32"/>
      <c r="M97" s="32"/>
      <c r="N97" s="2" t="str">
        <f>IF(F98="","",F98-F97)</f>
        <v/>
      </c>
      <c r="O97" s="3">
        <f t="shared" si="63"/>
        <v>9</v>
      </c>
    </row>
    <row r="98" spans="1:21" hidden="1" outlineLevel="2" x14ac:dyDescent="0.3">
      <c r="A98" s="5">
        <v>44287</v>
      </c>
      <c r="B98" s="1"/>
      <c r="C98" s="32"/>
      <c r="D98" s="32"/>
      <c r="E98" s="32"/>
      <c r="F98" s="18"/>
      <c r="G98" s="17">
        <f t="shared" si="65"/>
        <v>2203</v>
      </c>
      <c r="H98" s="7">
        <f t="shared" si="62"/>
        <v>44287</v>
      </c>
      <c r="I98" s="1" t="str">
        <f t="shared" si="66"/>
        <v/>
      </c>
      <c r="J98" s="32" t="str">
        <f t="shared" si="67"/>
        <v/>
      </c>
      <c r="K98" s="4" t="str">
        <f t="shared" si="64"/>
        <v/>
      </c>
      <c r="L98" s="32"/>
      <c r="M98" s="32"/>
      <c r="N98" s="2" t="str">
        <f>IF(F99="","",F99-F98)</f>
        <v/>
      </c>
      <c r="O98" s="3">
        <f t="shared" si="63"/>
        <v>9</v>
      </c>
      <c r="Q98" t="s">
        <v>18</v>
      </c>
    </row>
    <row r="99" spans="1:21" hidden="1" outlineLevel="2" x14ac:dyDescent="0.3">
      <c r="A99" s="5">
        <v>44317</v>
      </c>
      <c r="B99" s="1"/>
      <c r="C99" s="32"/>
      <c r="D99" s="32"/>
      <c r="E99" s="32"/>
      <c r="F99" s="18"/>
      <c r="G99" s="17">
        <f t="shared" si="65"/>
        <v>2212</v>
      </c>
      <c r="H99" s="7">
        <f t="shared" si="62"/>
        <v>44317</v>
      </c>
      <c r="I99" s="16">
        <f t="shared" si="66"/>
        <v>692</v>
      </c>
      <c r="J99" s="36">
        <f t="shared" si="67"/>
        <v>760</v>
      </c>
      <c r="K99" s="19">
        <f t="shared" si="64"/>
        <v>1452</v>
      </c>
      <c r="L99" s="32"/>
      <c r="M99" s="32"/>
      <c r="N99" s="18">
        <f>IF(F100="","",F100-F95)</f>
        <v>573</v>
      </c>
      <c r="O99" s="17">
        <f t="shared" si="63"/>
        <v>11</v>
      </c>
    </row>
    <row r="100" spans="1:21" hidden="1" outlineLevel="2" x14ac:dyDescent="0.3">
      <c r="A100" s="5">
        <v>44348</v>
      </c>
      <c r="B100" s="1">
        <v>692</v>
      </c>
      <c r="C100" s="32">
        <v>760</v>
      </c>
      <c r="D100" s="32"/>
      <c r="E100" s="32"/>
      <c r="F100" s="2">
        <v>4878</v>
      </c>
      <c r="G100" s="3">
        <v>2223</v>
      </c>
      <c r="H100" s="7">
        <f t="shared" si="62"/>
        <v>44348</v>
      </c>
      <c r="I100" s="1">
        <f t="shared" si="66"/>
        <v>124</v>
      </c>
      <c r="J100" s="32">
        <f t="shared" si="67"/>
        <v>106</v>
      </c>
      <c r="K100" s="4">
        <f t="shared" si="64"/>
        <v>230</v>
      </c>
      <c r="L100" s="32"/>
      <c r="M100" s="32"/>
      <c r="N100" s="2">
        <f t="shared" ref="N100:N105" si="68">IF(F101="","",F101-F100)</f>
        <v>1</v>
      </c>
      <c r="O100" s="3">
        <f t="shared" si="63"/>
        <v>9</v>
      </c>
    </row>
    <row r="101" spans="1:21" hidden="1" outlineLevel="2" x14ac:dyDescent="0.3">
      <c r="A101" s="5">
        <v>44378</v>
      </c>
      <c r="B101" s="1">
        <v>816</v>
      </c>
      <c r="C101" s="32">
        <v>866</v>
      </c>
      <c r="D101" s="32"/>
      <c r="E101" s="32"/>
      <c r="F101" s="2">
        <v>4879</v>
      </c>
      <c r="G101" s="3">
        <v>2232</v>
      </c>
      <c r="H101" s="7">
        <f t="shared" si="62"/>
        <v>44378</v>
      </c>
      <c r="I101" s="1">
        <f t="shared" si="66"/>
        <v>114</v>
      </c>
      <c r="J101" s="32">
        <f t="shared" si="67"/>
        <v>97</v>
      </c>
      <c r="K101" s="4">
        <f t="shared" si="64"/>
        <v>211</v>
      </c>
      <c r="L101" s="32"/>
      <c r="M101" s="32"/>
      <c r="N101" s="2">
        <f t="shared" si="68"/>
        <v>34</v>
      </c>
      <c r="O101" s="3">
        <f t="shared" si="63"/>
        <v>9</v>
      </c>
    </row>
    <row r="102" spans="1:21" hidden="1" outlineLevel="2" x14ac:dyDescent="0.3">
      <c r="A102" s="5">
        <v>44409</v>
      </c>
      <c r="B102" s="1">
        <v>930</v>
      </c>
      <c r="C102" s="32">
        <v>963</v>
      </c>
      <c r="D102" s="32"/>
      <c r="E102" s="32"/>
      <c r="F102" s="2">
        <v>4913</v>
      </c>
      <c r="G102" s="3">
        <v>2241</v>
      </c>
      <c r="H102" s="7">
        <f t="shared" si="62"/>
        <v>44409</v>
      </c>
      <c r="I102" s="1">
        <f t="shared" si="66"/>
        <v>127</v>
      </c>
      <c r="J102" s="32">
        <f t="shared" si="67"/>
        <v>114</v>
      </c>
      <c r="K102" s="4">
        <f t="shared" si="64"/>
        <v>241</v>
      </c>
      <c r="L102" s="32"/>
      <c r="M102" s="32"/>
      <c r="N102" s="2">
        <f t="shared" si="68"/>
        <v>17</v>
      </c>
      <c r="O102" s="3">
        <f t="shared" si="63"/>
        <v>8</v>
      </c>
      <c r="Q102" t="s">
        <v>19</v>
      </c>
    </row>
    <row r="103" spans="1:21" hidden="1" outlineLevel="2" x14ac:dyDescent="0.3">
      <c r="A103" s="5">
        <v>44440</v>
      </c>
      <c r="B103" s="1">
        <v>1057</v>
      </c>
      <c r="C103" s="32">
        <v>1077</v>
      </c>
      <c r="D103" s="32"/>
      <c r="E103" s="32"/>
      <c r="F103" s="2">
        <v>4930</v>
      </c>
      <c r="G103" s="3">
        <v>2249</v>
      </c>
      <c r="H103" s="7">
        <f t="shared" si="62"/>
        <v>44440</v>
      </c>
      <c r="I103" s="1">
        <f t="shared" si="66"/>
        <v>138</v>
      </c>
      <c r="J103" s="32">
        <f t="shared" si="67"/>
        <v>116</v>
      </c>
      <c r="K103" s="4">
        <f t="shared" si="64"/>
        <v>254</v>
      </c>
      <c r="L103" s="32"/>
      <c r="M103" s="32"/>
      <c r="N103" s="2">
        <f t="shared" si="68"/>
        <v>20</v>
      </c>
      <c r="O103" s="3">
        <f t="shared" si="63"/>
        <v>8</v>
      </c>
    </row>
    <row r="104" spans="1:21" hidden="1" outlineLevel="2" x14ac:dyDescent="0.3">
      <c r="A104" s="5">
        <v>44470</v>
      </c>
      <c r="B104" s="1">
        <v>1195</v>
      </c>
      <c r="C104" s="32">
        <v>1193</v>
      </c>
      <c r="D104" s="32"/>
      <c r="E104" s="32"/>
      <c r="F104" s="2">
        <v>4950</v>
      </c>
      <c r="G104" s="3">
        <v>2257</v>
      </c>
      <c r="H104" s="7">
        <f t="shared" si="62"/>
        <v>44470</v>
      </c>
      <c r="I104" s="1">
        <f t="shared" si="66"/>
        <v>193</v>
      </c>
      <c r="J104" s="32">
        <f t="shared" si="67"/>
        <v>143</v>
      </c>
      <c r="K104" s="4">
        <f t="shared" si="64"/>
        <v>336</v>
      </c>
      <c r="L104" s="32"/>
      <c r="M104" s="32"/>
      <c r="N104" s="2">
        <f t="shared" si="68"/>
        <v>66</v>
      </c>
      <c r="O104" s="3">
        <f t="shared" si="63"/>
        <v>8</v>
      </c>
    </row>
    <row r="105" spans="1:21" hidden="1" outlineLevel="2" x14ac:dyDescent="0.3">
      <c r="A105" s="5">
        <v>44501</v>
      </c>
      <c r="B105" s="1">
        <v>1388</v>
      </c>
      <c r="C105" s="32">
        <v>1336</v>
      </c>
      <c r="D105" s="32"/>
      <c r="E105" s="32"/>
      <c r="F105" s="2">
        <v>5016</v>
      </c>
      <c r="G105" s="3">
        <v>2265</v>
      </c>
      <c r="H105" s="7">
        <f t="shared" si="62"/>
        <v>44501</v>
      </c>
      <c r="I105" s="1">
        <f t="shared" si="66"/>
        <v>172</v>
      </c>
      <c r="J105" s="32">
        <f t="shared" si="67"/>
        <v>202</v>
      </c>
      <c r="K105" s="4">
        <f t="shared" si="64"/>
        <v>374</v>
      </c>
      <c r="L105" s="32"/>
      <c r="M105" s="32"/>
      <c r="N105" s="2">
        <f t="shared" si="68"/>
        <v>125</v>
      </c>
      <c r="O105" s="3">
        <f t="shared" si="63"/>
        <v>9</v>
      </c>
    </row>
    <row r="106" spans="1:21" hidden="1" outlineLevel="2" x14ac:dyDescent="0.3">
      <c r="A106" s="5">
        <v>44531</v>
      </c>
      <c r="B106" s="1">
        <v>1560</v>
      </c>
      <c r="C106" s="32">
        <v>1538</v>
      </c>
      <c r="D106" s="32"/>
      <c r="E106" s="32"/>
      <c r="F106" s="2">
        <v>5141</v>
      </c>
      <c r="G106" s="3">
        <v>2274</v>
      </c>
      <c r="H106" s="7">
        <f t="shared" si="62"/>
        <v>44531</v>
      </c>
      <c r="I106" s="1">
        <f>IF(B108="","",B108-B106)</f>
        <v>179</v>
      </c>
      <c r="J106" s="32">
        <f>IF(C108="","",C108-C106)</f>
        <v>278</v>
      </c>
      <c r="K106" s="4">
        <f t="shared" si="64"/>
        <v>457</v>
      </c>
      <c r="L106" s="32"/>
      <c r="M106" s="32"/>
      <c r="N106" s="2">
        <f>IF(F108="","",F108-F106)</f>
        <v>152</v>
      </c>
      <c r="O106" s="3">
        <f>IF(G108="","",G108-G106)</f>
        <v>9</v>
      </c>
      <c r="Q106" s="65">
        <f>SUM(I95:I106)</f>
        <v>1823</v>
      </c>
      <c r="R106" s="30">
        <f t="shared" ref="R106" si="69">SUM(J95:J106)</f>
        <v>1931</v>
      </c>
      <c r="S106" s="41">
        <f t="shared" ref="S106" si="70">SUM(K95:K106)</f>
        <v>3754</v>
      </c>
      <c r="T106" s="64">
        <f t="shared" ref="T106" si="71">SUM(N95:N106)</f>
        <v>988</v>
      </c>
      <c r="U106" s="66">
        <f t="shared" ref="U106" si="72">SUM(O95:O106)</f>
        <v>107</v>
      </c>
    </row>
    <row r="107" spans="1:21" collapsed="1" x14ac:dyDescent="0.3">
      <c r="A107" s="6"/>
      <c r="B107" s="71">
        <v>2022</v>
      </c>
      <c r="C107" s="71"/>
      <c r="D107" s="71"/>
      <c r="E107" s="71"/>
      <c r="F107" s="71"/>
      <c r="G107" s="71"/>
      <c r="H107" s="6"/>
      <c r="I107" s="71">
        <v>2022</v>
      </c>
      <c r="J107" s="71"/>
      <c r="K107" s="71"/>
      <c r="L107" s="71"/>
      <c r="M107" s="71"/>
      <c r="N107" s="71"/>
      <c r="O107" s="71"/>
      <c r="Q107" s="71">
        <v>2022</v>
      </c>
      <c r="R107" s="71"/>
      <c r="S107" s="71"/>
      <c r="T107" s="71"/>
      <c r="U107" s="71"/>
    </row>
    <row r="108" spans="1:21" hidden="1" outlineLevel="1" x14ac:dyDescent="0.3">
      <c r="A108" s="5">
        <v>44562</v>
      </c>
      <c r="B108" s="1">
        <v>1739</v>
      </c>
      <c r="C108" s="32">
        <v>1816</v>
      </c>
      <c r="D108" s="32"/>
      <c r="E108" s="32"/>
      <c r="F108" s="2">
        <v>5293</v>
      </c>
      <c r="G108" s="3">
        <v>2283</v>
      </c>
      <c r="H108" s="7">
        <f t="shared" ref="H108:H119" si="73">A108</f>
        <v>44562</v>
      </c>
      <c r="I108" s="1">
        <f t="shared" ref="I108:I118" si="74">IF(B109="","",B109-B108)</f>
        <v>236</v>
      </c>
      <c r="J108" s="32">
        <f t="shared" ref="J108:J118" si="75">IF(C109="","",C109-C108)</f>
        <v>194</v>
      </c>
      <c r="K108" s="4">
        <f>IF(I108="","",I108+J108)</f>
        <v>430</v>
      </c>
      <c r="L108" s="32"/>
      <c r="M108" s="32"/>
      <c r="N108" s="2">
        <f t="shared" ref="N108:O112" si="76">IF(F109="","",F109-F108)</f>
        <v>116</v>
      </c>
      <c r="O108" s="3">
        <f t="shared" si="76"/>
        <v>9</v>
      </c>
    </row>
    <row r="109" spans="1:21" hidden="1" outlineLevel="1" x14ac:dyDescent="0.3">
      <c r="A109" s="5">
        <v>44593</v>
      </c>
      <c r="B109" s="1">
        <v>1975</v>
      </c>
      <c r="C109" s="32">
        <v>2010</v>
      </c>
      <c r="D109" s="32"/>
      <c r="E109" s="32"/>
      <c r="F109" s="2">
        <v>5409</v>
      </c>
      <c r="G109" s="3">
        <v>2292</v>
      </c>
      <c r="H109" s="7">
        <f t="shared" si="73"/>
        <v>44593</v>
      </c>
      <c r="I109" s="1">
        <f t="shared" si="74"/>
        <v>173</v>
      </c>
      <c r="J109" s="32">
        <f t="shared" si="75"/>
        <v>200</v>
      </c>
      <c r="K109" s="4">
        <f t="shared" ref="K109:K119" si="77">IF(I109="","",I109+J109)</f>
        <v>373</v>
      </c>
      <c r="L109" s="32"/>
      <c r="M109" s="32"/>
      <c r="N109" s="2">
        <f t="shared" si="76"/>
        <v>122</v>
      </c>
      <c r="O109" s="3">
        <f t="shared" si="76"/>
        <v>9</v>
      </c>
    </row>
    <row r="110" spans="1:21" hidden="1" outlineLevel="1" x14ac:dyDescent="0.3">
      <c r="A110" s="31">
        <v>44623</v>
      </c>
      <c r="B110" s="1">
        <v>2148</v>
      </c>
      <c r="C110" s="32">
        <v>2210</v>
      </c>
      <c r="D110" s="32"/>
      <c r="E110" s="32"/>
      <c r="F110" s="2">
        <v>5531</v>
      </c>
      <c r="G110" s="3">
        <v>2301</v>
      </c>
      <c r="H110" s="7">
        <f t="shared" si="73"/>
        <v>44623</v>
      </c>
      <c r="I110" s="1">
        <f t="shared" si="74"/>
        <v>140</v>
      </c>
      <c r="J110" s="32">
        <f t="shared" si="75"/>
        <v>177</v>
      </c>
      <c r="K110" s="4">
        <f t="shared" si="77"/>
        <v>317</v>
      </c>
      <c r="L110" s="32"/>
      <c r="M110" s="32"/>
      <c r="N110" s="2">
        <f t="shared" si="76"/>
        <v>96</v>
      </c>
      <c r="O110" s="3">
        <f t="shared" si="76"/>
        <v>7</v>
      </c>
    </row>
    <row r="111" spans="1:21" hidden="1" outlineLevel="1" x14ac:dyDescent="0.3">
      <c r="A111" s="5">
        <v>44652</v>
      </c>
      <c r="B111" s="1">
        <v>2288</v>
      </c>
      <c r="C111" s="32">
        <v>2387</v>
      </c>
      <c r="D111" s="32"/>
      <c r="E111" s="32"/>
      <c r="F111" s="2">
        <v>5627</v>
      </c>
      <c r="G111" s="3">
        <v>2308</v>
      </c>
      <c r="H111" s="7">
        <f t="shared" si="73"/>
        <v>44652</v>
      </c>
      <c r="I111" s="1">
        <f t="shared" si="74"/>
        <v>209</v>
      </c>
      <c r="J111" s="32">
        <f t="shared" si="75"/>
        <v>132</v>
      </c>
      <c r="K111" s="4">
        <f t="shared" si="77"/>
        <v>341</v>
      </c>
      <c r="L111" s="32"/>
      <c r="M111" s="32"/>
      <c r="N111" s="2">
        <f t="shared" si="76"/>
        <v>66</v>
      </c>
      <c r="O111" s="3">
        <f t="shared" si="76"/>
        <v>8</v>
      </c>
    </row>
    <row r="112" spans="1:21" hidden="1" outlineLevel="1" x14ac:dyDescent="0.3">
      <c r="A112" s="5">
        <v>44682</v>
      </c>
      <c r="B112" s="1">
        <v>2497</v>
      </c>
      <c r="C112" s="32">
        <v>2519</v>
      </c>
      <c r="D112" s="32"/>
      <c r="E112" s="32"/>
      <c r="F112" s="2">
        <v>5693</v>
      </c>
      <c r="G112" s="3">
        <v>2316</v>
      </c>
      <c r="H112" s="7">
        <f t="shared" si="73"/>
        <v>44682</v>
      </c>
      <c r="I112" s="1">
        <f t="shared" si="74"/>
        <v>121</v>
      </c>
      <c r="J112" s="32">
        <f t="shared" si="75"/>
        <v>113</v>
      </c>
      <c r="K112" s="4">
        <f t="shared" si="77"/>
        <v>234</v>
      </c>
      <c r="L112" s="32"/>
      <c r="M112" s="32"/>
      <c r="N112" s="2">
        <f t="shared" si="76"/>
        <v>19</v>
      </c>
      <c r="O112" s="3">
        <f t="shared" si="76"/>
        <v>10</v>
      </c>
    </row>
    <row r="113" spans="1:22" hidden="1" outlineLevel="1" x14ac:dyDescent="0.3">
      <c r="A113" s="5">
        <v>44713</v>
      </c>
      <c r="B113" s="1">
        <v>2618</v>
      </c>
      <c r="C113" s="32">
        <v>2632</v>
      </c>
      <c r="D113" s="32"/>
      <c r="E113" s="32"/>
      <c r="F113" s="2">
        <v>5712</v>
      </c>
      <c r="G113" s="3">
        <v>2326</v>
      </c>
      <c r="H113" s="7">
        <f t="shared" si="73"/>
        <v>44713</v>
      </c>
      <c r="I113" s="1">
        <f t="shared" si="74"/>
        <v>152</v>
      </c>
      <c r="J113" s="32">
        <f t="shared" si="75"/>
        <v>114</v>
      </c>
      <c r="K113" s="4">
        <f t="shared" si="77"/>
        <v>266</v>
      </c>
      <c r="L113" s="32"/>
      <c r="M113" s="32"/>
      <c r="N113" s="2">
        <f t="shared" ref="N113:N118" si="78">IF(F114="","",F114-F113)</f>
        <v>10</v>
      </c>
      <c r="O113" s="3">
        <v>6</v>
      </c>
      <c r="Q113" t="s">
        <v>20</v>
      </c>
    </row>
    <row r="114" spans="1:22" hidden="1" outlineLevel="1" x14ac:dyDescent="0.3">
      <c r="A114" s="5">
        <v>44743</v>
      </c>
      <c r="B114" s="1">
        <v>2770</v>
      </c>
      <c r="C114" s="32">
        <v>2746</v>
      </c>
      <c r="D114" s="32"/>
      <c r="E114" s="32"/>
      <c r="F114" s="2">
        <v>5722</v>
      </c>
      <c r="G114" s="17">
        <v>6</v>
      </c>
      <c r="H114" s="7">
        <f t="shared" si="73"/>
        <v>44743</v>
      </c>
      <c r="I114" s="1">
        <f t="shared" si="74"/>
        <v>135</v>
      </c>
      <c r="J114" s="32">
        <f t="shared" si="75"/>
        <v>100</v>
      </c>
      <c r="K114" s="4">
        <f t="shared" si="77"/>
        <v>235</v>
      </c>
      <c r="L114" s="32"/>
      <c r="M114" s="32"/>
      <c r="N114" s="2">
        <f t="shared" si="78"/>
        <v>10</v>
      </c>
      <c r="O114" s="3">
        <f>IF(G115="","",G115-G114)</f>
        <v>8</v>
      </c>
    </row>
    <row r="115" spans="1:22" hidden="1" outlineLevel="1" x14ac:dyDescent="0.3">
      <c r="A115" s="5">
        <v>44774</v>
      </c>
      <c r="B115" s="1">
        <v>2905</v>
      </c>
      <c r="C115" s="32">
        <v>2846</v>
      </c>
      <c r="D115" s="32"/>
      <c r="E115" s="32"/>
      <c r="F115" s="2">
        <v>5732</v>
      </c>
      <c r="G115" s="3">
        <v>14</v>
      </c>
      <c r="H115" s="7">
        <f t="shared" si="73"/>
        <v>44774</v>
      </c>
      <c r="I115" s="1">
        <f t="shared" si="74"/>
        <v>121</v>
      </c>
      <c r="J115" s="32">
        <f t="shared" si="75"/>
        <v>105</v>
      </c>
      <c r="K115" s="4">
        <f t="shared" si="77"/>
        <v>226</v>
      </c>
      <c r="L115" s="32"/>
      <c r="M115" s="32"/>
      <c r="N115" s="2">
        <f t="shared" si="78"/>
        <v>14</v>
      </c>
      <c r="O115" s="3">
        <f>IF(G116="","",G116-G115)</f>
        <v>9</v>
      </c>
    </row>
    <row r="116" spans="1:22" hidden="1" outlineLevel="1" x14ac:dyDescent="0.3">
      <c r="A116" s="5">
        <v>44805</v>
      </c>
      <c r="B116" s="1">
        <v>3026</v>
      </c>
      <c r="C116" s="32">
        <v>2951</v>
      </c>
      <c r="D116" s="32"/>
      <c r="E116" s="32"/>
      <c r="F116" s="2">
        <v>5746</v>
      </c>
      <c r="G116" s="3">
        <v>23</v>
      </c>
      <c r="H116" s="7">
        <f t="shared" si="73"/>
        <v>44805</v>
      </c>
      <c r="I116" s="1">
        <f t="shared" si="74"/>
        <v>107</v>
      </c>
      <c r="J116" s="32">
        <f t="shared" si="75"/>
        <v>112</v>
      </c>
      <c r="K116" s="4">
        <f t="shared" si="77"/>
        <v>219</v>
      </c>
      <c r="L116" s="32"/>
      <c r="M116" s="32"/>
      <c r="N116" s="2">
        <f t="shared" si="78"/>
        <v>11</v>
      </c>
      <c r="O116" s="3">
        <f>IF(G117="","",G117-G116)</f>
        <v>6</v>
      </c>
    </row>
    <row r="117" spans="1:22" hidden="1" outlineLevel="1" x14ac:dyDescent="0.3">
      <c r="A117" s="5">
        <v>44835</v>
      </c>
      <c r="B117" s="1">
        <v>3133</v>
      </c>
      <c r="C117" s="32">
        <v>3063</v>
      </c>
      <c r="D117" s="32"/>
      <c r="E117" s="32"/>
      <c r="F117" s="2">
        <v>5757</v>
      </c>
      <c r="G117" s="3">
        <v>29</v>
      </c>
      <c r="H117" s="7">
        <f t="shared" si="73"/>
        <v>44835</v>
      </c>
      <c r="I117" s="1">
        <f t="shared" si="74"/>
        <v>144</v>
      </c>
      <c r="J117" s="32">
        <f t="shared" si="75"/>
        <v>120</v>
      </c>
      <c r="K117" s="4">
        <f t="shared" si="77"/>
        <v>264</v>
      </c>
      <c r="L117" s="32"/>
      <c r="M117" s="32"/>
      <c r="N117" s="2">
        <f t="shared" si="78"/>
        <v>12</v>
      </c>
      <c r="O117" s="3">
        <f>IF(G118="","",G118-G117)</f>
        <v>8</v>
      </c>
    </row>
    <row r="118" spans="1:22" hidden="1" outlineLevel="1" x14ac:dyDescent="0.3">
      <c r="A118" s="5">
        <v>44866</v>
      </c>
      <c r="B118" s="1">
        <v>3277</v>
      </c>
      <c r="C118" s="32">
        <v>3183</v>
      </c>
      <c r="D118" s="32"/>
      <c r="E118" s="32"/>
      <c r="F118" s="2">
        <v>5769</v>
      </c>
      <c r="G118" s="3">
        <v>37</v>
      </c>
      <c r="H118" s="7">
        <f t="shared" si="73"/>
        <v>44866</v>
      </c>
      <c r="I118" s="1">
        <f t="shared" si="74"/>
        <v>134</v>
      </c>
      <c r="J118" s="32">
        <f t="shared" si="75"/>
        <v>153</v>
      </c>
      <c r="K118" s="4">
        <f t="shared" si="77"/>
        <v>287</v>
      </c>
      <c r="L118" s="32"/>
      <c r="M118" s="32"/>
      <c r="N118" s="2">
        <f t="shared" si="78"/>
        <v>21</v>
      </c>
      <c r="O118" s="3">
        <f>IF(G119="","",G119-G118)</f>
        <v>5</v>
      </c>
    </row>
    <row r="119" spans="1:22" hidden="1" outlineLevel="1" x14ac:dyDescent="0.3">
      <c r="A119" s="5">
        <v>44896</v>
      </c>
      <c r="B119" s="1">
        <v>3411</v>
      </c>
      <c r="C119" s="32">
        <v>3336</v>
      </c>
      <c r="D119" s="32"/>
      <c r="E119" s="32"/>
      <c r="F119" s="2">
        <v>5790</v>
      </c>
      <c r="G119" s="3">
        <v>42</v>
      </c>
      <c r="H119" s="7">
        <f t="shared" si="73"/>
        <v>44896</v>
      </c>
      <c r="I119" s="49">
        <f>IF(B121="","",B121-B119)</f>
        <v>167</v>
      </c>
      <c r="J119" s="32">
        <f>IF(C121="","",C121-C119)</f>
        <v>173</v>
      </c>
      <c r="K119" s="4">
        <f t="shared" si="77"/>
        <v>340</v>
      </c>
      <c r="L119" s="32"/>
      <c r="M119" s="32"/>
      <c r="N119" s="2">
        <f>IF(F121="","",F121-F119)</f>
        <v>60</v>
      </c>
      <c r="O119" s="3">
        <f>IF(G121="","",G121-G119)</f>
        <v>7</v>
      </c>
      <c r="Q119" s="65">
        <f>SUM(I108:I119)</f>
        <v>1839</v>
      </c>
      <c r="R119" s="30">
        <f t="shared" ref="R119" si="79">SUM(J108:J119)</f>
        <v>1693</v>
      </c>
      <c r="S119" s="41">
        <f t="shared" ref="S119" si="80">SUM(K108:K119)</f>
        <v>3532</v>
      </c>
      <c r="T119" s="64">
        <f t="shared" ref="T119" si="81">SUM(N108:N119)</f>
        <v>557</v>
      </c>
      <c r="U119" s="66">
        <f t="shared" ref="U119" si="82">SUM(O108:O119)</f>
        <v>92</v>
      </c>
    </row>
    <row r="120" spans="1:22" collapsed="1" x14ac:dyDescent="0.3">
      <c r="A120" s="6"/>
      <c r="B120" s="71">
        <v>2023</v>
      </c>
      <c r="C120" s="71"/>
      <c r="D120" s="71"/>
      <c r="E120" s="71"/>
      <c r="F120" s="71"/>
      <c r="G120" s="71"/>
      <c r="H120" s="6"/>
      <c r="I120" s="71">
        <v>2023</v>
      </c>
      <c r="J120" s="71"/>
      <c r="K120" s="71"/>
      <c r="L120" s="71"/>
      <c r="M120" s="71"/>
      <c r="N120" s="71"/>
      <c r="O120" s="71"/>
      <c r="P120" s="43"/>
      <c r="Q120" s="72">
        <v>2023</v>
      </c>
      <c r="R120" s="72"/>
      <c r="S120" s="72"/>
      <c r="T120" s="72"/>
      <c r="U120" s="72"/>
      <c r="V120" s="43"/>
    </row>
    <row r="121" spans="1:22" hidden="1" outlineLevel="1" x14ac:dyDescent="0.3">
      <c r="A121" s="5">
        <v>44927</v>
      </c>
      <c r="B121" s="1">
        <v>3578</v>
      </c>
      <c r="C121" s="32">
        <v>3509</v>
      </c>
      <c r="D121" s="51"/>
      <c r="E121" s="52"/>
      <c r="F121" s="2">
        <v>5850</v>
      </c>
      <c r="G121" s="3">
        <v>49</v>
      </c>
      <c r="H121" s="7">
        <f t="shared" ref="H121:H132" si="83">A121</f>
        <v>44927</v>
      </c>
      <c r="I121" s="1">
        <f t="shared" ref="I121:I131" si="84">IF(B122="","",B122-B121)</f>
        <v>185</v>
      </c>
      <c r="J121" s="32">
        <f t="shared" ref="J121:J131" si="85">IF(C122="","",C122-C121)</f>
        <v>177</v>
      </c>
      <c r="K121" s="4">
        <f>IF(I121="","",I121+J121)</f>
        <v>362</v>
      </c>
      <c r="L121" s="51"/>
      <c r="M121" s="52"/>
      <c r="N121" s="2">
        <f t="shared" ref="N121:N131" si="86">IF(F122="","",F122-F121)</f>
        <v>65</v>
      </c>
      <c r="O121" s="3">
        <f t="shared" ref="O121" si="87">IF(G122="","",G122-G121)</f>
        <v>6</v>
      </c>
    </row>
    <row r="122" spans="1:22" hidden="1" outlineLevel="1" x14ac:dyDescent="0.3">
      <c r="A122" s="5">
        <v>44958</v>
      </c>
      <c r="B122" s="1">
        <v>3763</v>
      </c>
      <c r="C122" s="32">
        <v>3686</v>
      </c>
      <c r="D122" s="51"/>
      <c r="E122" s="52"/>
      <c r="F122" s="2">
        <v>5915</v>
      </c>
      <c r="G122" s="3">
        <v>55</v>
      </c>
      <c r="H122" s="7">
        <f t="shared" si="83"/>
        <v>44958</v>
      </c>
      <c r="I122" s="1">
        <f t="shared" si="84"/>
        <v>148</v>
      </c>
      <c r="J122" s="32">
        <f t="shared" si="85"/>
        <v>150</v>
      </c>
      <c r="K122" s="4">
        <f t="shared" ref="K122:K132" si="88">IF(I122="","",I122+J122)</f>
        <v>298</v>
      </c>
      <c r="L122" s="51"/>
      <c r="M122" s="52"/>
      <c r="N122" s="2">
        <f t="shared" si="86"/>
        <v>48</v>
      </c>
      <c r="O122" s="3">
        <f t="shared" ref="O122:O131" si="89">IF(G123="","",G123-G122)</f>
        <v>5</v>
      </c>
    </row>
    <row r="123" spans="1:22" hidden="1" outlineLevel="1" x14ac:dyDescent="0.3">
      <c r="A123" s="5">
        <v>44986</v>
      </c>
      <c r="B123" s="1">
        <v>3911</v>
      </c>
      <c r="C123" s="32">
        <v>3836</v>
      </c>
      <c r="D123" s="51"/>
      <c r="E123" s="52"/>
      <c r="F123" s="2">
        <v>5963</v>
      </c>
      <c r="G123" s="3">
        <v>60</v>
      </c>
      <c r="H123" s="7">
        <f t="shared" si="83"/>
        <v>44986</v>
      </c>
      <c r="I123" s="1">
        <f t="shared" si="84"/>
        <v>157</v>
      </c>
      <c r="J123" s="32">
        <f t="shared" si="85"/>
        <v>162</v>
      </c>
      <c r="K123" s="4">
        <f t="shared" si="88"/>
        <v>319</v>
      </c>
      <c r="L123" s="51"/>
      <c r="M123" s="52"/>
      <c r="N123" s="2">
        <f t="shared" si="86"/>
        <v>67</v>
      </c>
      <c r="O123" s="3">
        <f t="shared" si="89"/>
        <v>6</v>
      </c>
    </row>
    <row r="124" spans="1:22" hidden="1" outlineLevel="1" x14ac:dyDescent="0.3">
      <c r="A124" s="5">
        <v>45018</v>
      </c>
      <c r="B124" s="1">
        <v>4068</v>
      </c>
      <c r="C124" s="32">
        <v>3998</v>
      </c>
      <c r="D124" s="51"/>
      <c r="E124" s="52"/>
      <c r="F124" s="2">
        <v>6030</v>
      </c>
      <c r="G124" s="3">
        <v>66</v>
      </c>
      <c r="H124" s="7">
        <f t="shared" si="83"/>
        <v>45018</v>
      </c>
      <c r="I124" s="1">
        <f t="shared" si="84"/>
        <v>147</v>
      </c>
      <c r="J124" s="32">
        <f t="shared" si="85"/>
        <v>114</v>
      </c>
      <c r="K124" s="4">
        <f t="shared" si="88"/>
        <v>261</v>
      </c>
      <c r="L124" s="51"/>
      <c r="M124" s="52"/>
      <c r="N124" s="2">
        <f t="shared" si="86"/>
        <v>46</v>
      </c>
      <c r="O124" s="3">
        <f t="shared" si="89"/>
        <v>6</v>
      </c>
    </row>
    <row r="125" spans="1:22" hidden="1" outlineLevel="1" x14ac:dyDescent="0.3">
      <c r="A125" s="5">
        <v>45047</v>
      </c>
      <c r="B125" s="1">
        <v>4215</v>
      </c>
      <c r="C125" s="32">
        <v>4112</v>
      </c>
      <c r="D125" s="51"/>
      <c r="E125" s="52"/>
      <c r="F125" s="2">
        <v>6076</v>
      </c>
      <c r="G125" s="3">
        <v>72</v>
      </c>
      <c r="H125" s="7">
        <f t="shared" si="83"/>
        <v>45047</v>
      </c>
      <c r="I125" s="1">
        <f t="shared" si="84"/>
        <v>124</v>
      </c>
      <c r="J125" s="32">
        <f t="shared" si="85"/>
        <v>90</v>
      </c>
      <c r="K125" s="4">
        <f t="shared" si="88"/>
        <v>214</v>
      </c>
      <c r="L125" s="51"/>
      <c r="M125" s="52"/>
      <c r="N125" s="2">
        <f t="shared" si="86"/>
        <v>14</v>
      </c>
      <c r="O125" s="3">
        <f t="shared" si="89"/>
        <v>6</v>
      </c>
    </row>
    <row r="126" spans="1:22" hidden="1" outlineLevel="1" x14ac:dyDescent="0.3">
      <c r="A126" s="5">
        <v>45078</v>
      </c>
      <c r="B126" s="1">
        <v>4339</v>
      </c>
      <c r="C126" s="32">
        <v>4202</v>
      </c>
      <c r="D126" s="51"/>
      <c r="E126" s="52"/>
      <c r="F126" s="2">
        <v>6090</v>
      </c>
      <c r="G126" s="3">
        <v>78</v>
      </c>
      <c r="H126" s="7">
        <f t="shared" si="83"/>
        <v>45078</v>
      </c>
      <c r="I126" s="1">
        <f t="shared" si="84"/>
        <v>88</v>
      </c>
      <c r="J126" s="32">
        <f t="shared" si="85"/>
        <v>59</v>
      </c>
      <c r="K126" s="4">
        <f t="shared" si="88"/>
        <v>147</v>
      </c>
      <c r="L126" s="51">
        <f>IF(D127="","",D127-D126)</f>
        <v>58</v>
      </c>
      <c r="M126" s="52">
        <f>IF(E127="","",E127-E126)</f>
        <v>194</v>
      </c>
      <c r="N126" s="2">
        <f t="shared" si="86"/>
        <v>6</v>
      </c>
      <c r="O126" s="3">
        <f t="shared" si="89"/>
        <v>6</v>
      </c>
    </row>
    <row r="127" spans="1:22" hidden="1" outlineLevel="1" x14ac:dyDescent="0.3">
      <c r="A127" s="5">
        <v>45108</v>
      </c>
      <c r="B127" s="1">
        <v>4427</v>
      </c>
      <c r="C127" s="32">
        <v>4261</v>
      </c>
      <c r="D127" s="51">
        <v>58</v>
      </c>
      <c r="E127" s="52">
        <v>194</v>
      </c>
      <c r="F127" s="2">
        <v>6096</v>
      </c>
      <c r="G127" s="3">
        <v>84</v>
      </c>
      <c r="H127" s="7">
        <f t="shared" si="83"/>
        <v>45108</v>
      </c>
      <c r="I127" s="1">
        <f t="shared" si="84"/>
        <v>44</v>
      </c>
      <c r="J127" s="32">
        <f t="shared" si="85"/>
        <v>20</v>
      </c>
      <c r="K127" s="4">
        <f t="shared" si="88"/>
        <v>64</v>
      </c>
      <c r="L127" s="51">
        <f t="shared" ref="L127:L131" si="90">IF(D128="","",D128-D127)</f>
        <v>107</v>
      </c>
      <c r="M127" s="52">
        <f t="shared" ref="M127:M131" si="91">IF(E128="","",E128-E127)</f>
        <v>267</v>
      </c>
      <c r="N127" s="2">
        <f t="shared" si="86"/>
        <v>5</v>
      </c>
      <c r="O127" s="3">
        <f t="shared" si="89"/>
        <v>3</v>
      </c>
    </row>
    <row r="128" spans="1:22" hidden="1" outlineLevel="1" x14ac:dyDescent="0.3">
      <c r="A128" s="5">
        <v>45139</v>
      </c>
      <c r="B128" s="1">
        <v>4471</v>
      </c>
      <c r="C128" s="32">
        <v>4281</v>
      </c>
      <c r="D128" s="51">
        <v>165</v>
      </c>
      <c r="E128" s="52">
        <v>461</v>
      </c>
      <c r="F128" s="2">
        <v>6101</v>
      </c>
      <c r="G128" s="3">
        <v>87</v>
      </c>
      <c r="H128" s="7">
        <f t="shared" si="83"/>
        <v>45139</v>
      </c>
      <c r="I128" s="1">
        <f t="shared" si="84"/>
        <v>64</v>
      </c>
      <c r="J128" s="32">
        <f t="shared" si="85"/>
        <v>50</v>
      </c>
      <c r="K128" s="4">
        <f t="shared" si="88"/>
        <v>114</v>
      </c>
      <c r="L128" s="51">
        <f t="shared" si="90"/>
        <v>72</v>
      </c>
      <c r="M128" s="52">
        <f t="shared" si="91"/>
        <v>241</v>
      </c>
      <c r="N128" s="2">
        <f t="shared" si="86"/>
        <v>11</v>
      </c>
      <c r="O128" s="3">
        <f t="shared" si="89"/>
        <v>7</v>
      </c>
    </row>
    <row r="129" spans="1:22" hidden="1" outlineLevel="1" x14ac:dyDescent="0.3">
      <c r="A129" s="5">
        <v>45170</v>
      </c>
      <c r="B129" s="1">
        <v>4535</v>
      </c>
      <c r="C129" s="32">
        <v>4331</v>
      </c>
      <c r="D129" s="51">
        <v>237</v>
      </c>
      <c r="E129" s="52">
        <v>702</v>
      </c>
      <c r="F129" s="2">
        <v>6112</v>
      </c>
      <c r="G129" s="3">
        <v>94</v>
      </c>
      <c r="H129" s="7">
        <f t="shared" si="83"/>
        <v>45170</v>
      </c>
      <c r="I129" s="1">
        <f t="shared" si="84"/>
        <v>64</v>
      </c>
      <c r="J129" s="32">
        <f t="shared" si="85"/>
        <v>56</v>
      </c>
      <c r="K129" s="4">
        <f t="shared" si="88"/>
        <v>120</v>
      </c>
      <c r="L129" s="51">
        <f t="shared" si="90"/>
        <v>60</v>
      </c>
      <c r="M129" s="52">
        <f t="shared" si="91"/>
        <v>108</v>
      </c>
      <c r="N129" s="2">
        <f t="shared" si="86"/>
        <v>9</v>
      </c>
      <c r="O129" s="3">
        <f t="shared" si="89"/>
        <v>6</v>
      </c>
    </row>
    <row r="130" spans="1:22" hidden="1" outlineLevel="1" x14ac:dyDescent="0.3">
      <c r="A130" s="5">
        <v>45200</v>
      </c>
      <c r="B130" s="9">
        <v>4599</v>
      </c>
      <c r="C130" s="33">
        <v>4387</v>
      </c>
      <c r="D130" s="54">
        <v>297</v>
      </c>
      <c r="E130" s="55">
        <v>810</v>
      </c>
      <c r="F130" s="10">
        <v>6121</v>
      </c>
      <c r="G130" s="11">
        <v>100</v>
      </c>
      <c r="H130" s="7">
        <f t="shared" si="83"/>
        <v>45200</v>
      </c>
      <c r="I130" s="1">
        <f t="shared" si="84"/>
        <v>100</v>
      </c>
      <c r="J130" s="32">
        <f t="shared" si="85"/>
        <v>100</v>
      </c>
      <c r="K130" s="4">
        <f t="shared" si="88"/>
        <v>200</v>
      </c>
      <c r="L130" s="51">
        <f t="shared" si="90"/>
        <v>24</v>
      </c>
      <c r="M130" s="52">
        <f t="shared" si="91"/>
        <v>100</v>
      </c>
      <c r="N130" s="2">
        <f t="shared" si="86"/>
        <v>14</v>
      </c>
      <c r="O130" s="3">
        <f t="shared" si="89"/>
        <v>6</v>
      </c>
    </row>
    <row r="131" spans="1:22" hidden="1" outlineLevel="1" x14ac:dyDescent="0.3">
      <c r="A131" s="5">
        <v>45231</v>
      </c>
      <c r="B131" s="1">
        <v>4699</v>
      </c>
      <c r="C131" s="32">
        <v>4487</v>
      </c>
      <c r="D131" s="51">
        <v>321</v>
      </c>
      <c r="E131" s="52">
        <v>910</v>
      </c>
      <c r="F131" s="2">
        <v>6135</v>
      </c>
      <c r="G131" s="3">
        <v>106</v>
      </c>
      <c r="H131" s="7">
        <f t="shared" si="83"/>
        <v>45231</v>
      </c>
      <c r="I131" s="1">
        <f t="shared" si="84"/>
        <v>116</v>
      </c>
      <c r="J131" s="32">
        <f t="shared" si="85"/>
        <v>155</v>
      </c>
      <c r="K131" s="4">
        <f t="shared" si="88"/>
        <v>271</v>
      </c>
      <c r="L131" s="51">
        <f t="shared" si="90"/>
        <v>6</v>
      </c>
      <c r="M131" s="52">
        <f t="shared" si="91"/>
        <v>16</v>
      </c>
      <c r="N131" s="2">
        <f t="shared" si="86"/>
        <v>42</v>
      </c>
      <c r="O131" s="3">
        <f t="shared" si="89"/>
        <v>6</v>
      </c>
      <c r="Q131" s="57">
        <f>SUM(L121:L132)</f>
        <v>332</v>
      </c>
      <c r="R131" s="56">
        <f>SUM(M121:M132)</f>
        <v>993</v>
      </c>
      <c r="S131" s="58">
        <f>Q131+R131</f>
        <v>1325</v>
      </c>
    </row>
    <row r="132" spans="1:22" hidden="1" outlineLevel="1" x14ac:dyDescent="0.3">
      <c r="A132" s="5">
        <v>45261</v>
      </c>
      <c r="B132" s="1">
        <v>4815</v>
      </c>
      <c r="C132" s="32">
        <v>4642</v>
      </c>
      <c r="D132" s="51">
        <v>327</v>
      </c>
      <c r="E132" s="52">
        <v>926</v>
      </c>
      <c r="F132" s="2">
        <v>6177</v>
      </c>
      <c r="G132" s="3">
        <v>112</v>
      </c>
      <c r="H132" s="7">
        <f t="shared" si="83"/>
        <v>45261</v>
      </c>
      <c r="I132" s="1">
        <f>IF(B134="","",B134-B132)</f>
        <v>185</v>
      </c>
      <c r="J132" s="32">
        <f>IF(C134="","",C134-C132)</f>
        <v>166</v>
      </c>
      <c r="K132" s="4">
        <f t="shared" si="88"/>
        <v>351</v>
      </c>
      <c r="L132" s="51">
        <f t="shared" ref="L132:M132" si="92">IF(E134="","",E134-E132)</f>
        <v>5</v>
      </c>
      <c r="M132" s="52">
        <f t="shared" si="92"/>
        <v>67</v>
      </c>
      <c r="N132" s="2">
        <f>IF(F134="","",F134-F132)</f>
        <v>67</v>
      </c>
      <c r="O132" s="3">
        <f>IF(G134="","",G134-G132)</f>
        <v>6</v>
      </c>
      <c r="Q132" s="65">
        <f>SUM(I121:I132)</f>
        <v>1422</v>
      </c>
      <c r="R132" s="30">
        <f t="shared" ref="R132" si="93">SUM(J121:J132)</f>
        <v>1299</v>
      </c>
      <c r="S132" s="41">
        <f t="shared" ref="S132" si="94">SUM(K121:K132)</f>
        <v>2721</v>
      </c>
      <c r="T132" s="64">
        <f t="shared" ref="T132" si="95">SUM(N121:N132)</f>
        <v>394</v>
      </c>
      <c r="U132" s="66">
        <f t="shared" ref="U132" si="96">SUM(O121:O132)</f>
        <v>69</v>
      </c>
    </row>
    <row r="133" spans="1:22" collapsed="1" x14ac:dyDescent="0.3">
      <c r="B133" s="71">
        <v>2024</v>
      </c>
      <c r="C133" s="71"/>
      <c r="D133" s="71"/>
      <c r="E133" s="71"/>
      <c r="F133" s="71"/>
      <c r="G133" s="71"/>
      <c r="H133" s="6"/>
      <c r="I133" s="71">
        <v>2024</v>
      </c>
      <c r="J133" s="71"/>
      <c r="K133" s="71"/>
      <c r="L133" s="71"/>
      <c r="M133" s="71"/>
      <c r="N133" s="71"/>
      <c r="O133" s="71"/>
      <c r="P133" s="43"/>
      <c r="Q133" s="72">
        <v>2024</v>
      </c>
      <c r="R133" s="72"/>
      <c r="S133" s="72"/>
      <c r="T133" s="72"/>
      <c r="U133" s="72"/>
      <c r="V133" s="43"/>
    </row>
    <row r="134" spans="1:22" x14ac:dyDescent="0.3">
      <c r="A134" s="5">
        <v>45292</v>
      </c>
      <c r="B134" s="1">
        <v>5000</v>
      </c>
      <c r="C134" s="32">
        <v>4808</v>
      </c>
      <c r="D134" s="51">
        <v>330</v>
      </c>
      <c r="E134" s="52">
        <v>931</v>
      </c>
      <c r="F134" s="2">
        <v>6244</v>
      </c>
      <c r="G134" s="3">
        <v>118</v>
      </c>
      <c r="H134" s="7">
        <f>A134</f>
        <v>45292</v>
      </c>
      <c r="I134" s="1">
        <f>IF(B135="","",B135-B134)</f>
        <v>129</v>
      </c>
      <c r="J134" s="32">
        <f t="shared" ref="J134" si="97">IF(C135="","",C135-C134)</f>
        <v>211</v>
      </c>
      <c r="K134" s="4">
        <f>IF(I134="","",I134+J134)</f>
        <v>340</v>
      </c>
      <c r="L134" s="51">
        <f>IF(E135="","",E135-E134)</f>
        <v>12</v>
      </c>
      <c r="M134" s="52">
        <f>IF(F135="","",F135-F134)</f>
        <v>90</v>
      </c>
      <c r="N134" s="2">
        <f t="shared" ref="N134" si="98">IF(F135="","",F135-F134)</f>
        <v>90</v>
      </c>
      <c r="O134" s="3">
        <f t="shared" ref="O134" si="99">IF(G135="","",G135-G134)</f>
        <v>6</v>
      </c>
    </row>
    <row r="135" spans="1:22" x14ac:dyDescent="0.3">
      <c r="A135" s="5">
        <v>45323</v>
      </c>
      <c r="B135" s="1">
        <v>5129</v>
      </c>
      <c r="C135" s="32">
        <v>5019</v>
      </c>
      <c r="D135" s="51">
        <v>336</v>
      </c>
      <c r="E135" s="52">
        <v>943</v>
      </c>
      <c r="F135" s="2">
        <v>6334</v>
      </c>
      <c r="G135" s="3">
        <v>124</v>
      </c>
      <c r="H135" s="7">
        <f t="shared" ref="H135:H145" si="100">A135</f>
        <v>45323</v>
      </c>
      <c r="I135" s="1">
        <f t="shared" ref="I135:I144" si="101">IF(B136="","",B136-B135)</f>
        <v>116</v>
      </c>
      <c r="J135" s="32">
        <f t="shared" ref="J135:J144" si="102">IF(C136="","",C136-C135)</f>
        <v>125</v>
      </c>
      <c r="K135" s="4">
        <f t="shared" ref="K135:K145" si="103">IF(I135="","",I135+J135)</f>
        <v>241</v>
      </c>
      <c r="L135" s="51">
        <f t="shared" ref="L135:L144" si="104">IF(E136="","",E136-E135)</f>
        <v>30</v>
      </c>
      <c r="M135" s="52">
        <f t="shared" ref="M135:M144" si="105">IF(F136="","",F136-F135)</f>
        <v>47</v>
      </c>
      <c r="N135" s="2">
        <f t="shared" ref="N135:N144" si="106">IF(F136="","",F136-F135)</f>
        <v>47</v>
      </c>
      <c r="O135" s="3">
        <f t="shared" ref="O135:O144" si="107">IF(G136="","",G136-G135)</f>
        <v>6</v>
      </c>
    </row>
    <row r="136" spans="1:22" x14ac:dyDescent="0.3">
      <c r="A136" s="5">
        <v>45352</v>
      </c>
      <c r="B136" s="1">
        <v>5245</v>
      </c>
      <c r="C136" s="32">
        <v>5144</v>
      </c>
      <c r="D136" s="51">
        <v>342</v>
      </c>
      <c r="E136" s="52">
        <v>973</v>
      </c>
      <c r="F136" s="2">
        <v>6381</v>
      </c>
      <c r="G136" s="3">
        <v>130</v>
      </c>
      <c r="H136" s="7">
        <f t="shared" si="100"/>
        <v>45352</v>
      </c>
      <c r="I136" s="1">
        <f t="shared" si="101"/>
        <v>101</v>
      </c>
      <c r="J136" s="32">
        <f t="shared" si="102"/>
        <v>107</v>
      </c>
      <c r="K136" s="4">
        <f t="shared" si="103"/>
        <v>208</v>
      </c>
      <c r="L136" s="51">
        <f t="shared" si="104"/>
        <v>95</v>
      </c>
      <c r="M136" s="52">
        <f t="shared" si="105"/>
        <v>44</v>
      </c>
      <c r="N136" s="2">
        <f t="shared" si="106"/>
        <v>44</v>
      </c>
      <c r="O136" s="3">
        <f t="shared" si="107"/>
        <v>6</v>
      </c>
    </row>
    <row r="137" spans="1:22" x14ac:dyDescent="0.3">
      <c r="A137" s="5">
        <v>45383</v>
      </c>
      <c r="B137" s="1">
        <v>5346</v>
      </c>
      <c r="C137" s="32">
        <v>5251</v>
      </c>
      <c r="D137" s="51">
        <v>386</v>
      </c>
      <c r="E137" s="52">
        <v>1068</v>
      </c>
      <c r="F137" s="2">
        <v>6425</v>
      </c>
      <c r="G137" s="3">
        <v>136</v>
      </c>
      <c r="H137" s="7">
        <f t="shared" si="100"/>
        <v>45383</v>
      </c>
      <c r="I137" s="1">
        <f t="shared" si="101"/>
        <v>73</v>
      </c>
      <c r="J137" s="32">
        <f t="shared" si="102"/>
        <v>64</v>
      </c>
      <c r="K137" s="4">
        <f t="shared" si="103"/>
        <v>137</v>
      </c>
      <c r="L137" s="51">
        <f t="shared" si="104"/>
        <v>190</v>
      </c>
      <c r="M137" s="52">
        <f t="shared" si="105"/>
        <v>26</v>
      </c>
      <c r="N137" s="2">
        <f t="shared" si="106"/>
        <v>26</v>
      </c>
      <c r="O137" s="3">
        <f t="shared" si="107"/>
        <v>7</v>
      </c>
    </row>
    <row r="138" spans="1:22" x14ac:dyDescent="0.3">
      <c r="A138" s="5">
        <v>45413</v>
      </c>
      <c r="B138" s="1">
        <v>5419</v>
      </c>
      <c r="C138" s="32">
        <v>5315</v>
      </c>
      <c r="D138" s="51">
        <v>471</v>
      </c>
      <c r="E138" s="52">
        <v>1258</v>
      </c>
      <c r="F138" s="2">
        <v>6451</v>
      </c>
      <c r="G138" s="3">
        <v>143</v>
      </c>
      <c r="H138" s="7">
        <f t="shared" si="100"/>
        <v>45413</v>
      </c>
      <c r="I138" s="1">
        <f t="shared" si="101"/>
        <v>57</v>
      </c>
      <c r="J138" s="32">
        <f t="shared" si="102"/>
        <v>43</v>
      </c>
      <c r="K138" s="4">
        <f t="shared" si="103"/>
        <v>100</v>
      </c>
      <c r="L138" s="51">
        <f t="shared" si="104"/>
        <v>213</v>
      </c>
      <c r="M138" s="52">
        <f t="shared" si="105"/>
        <v>9</v>
      </c>
      <c r="N138" s="2">
        <f t="shared" si="106"/>
        <v>9</v>
      </c>
      <c r="O138" s="3">
        <f t="shared" si="107"/>
        <v>5</v>
      </c>
    </row>
    <row r="139" spans="1:22" x14ac:dyDescent="0.3">
      <c r="A139" s="5">
        <v>45444</v>
      </c>
      <c r="B139" s="1">
        <v>5476</v>
      </c>
      <c r="C139" s="32">
        <v>5358</v>
      </c>
      <c r="D139" s="51">
        <v>600</v>
      </c>
      <c r="E139" s="52">
        <v>1471</v>
      </c>
      <c r="F139" s="2">
        <v>6460</v>
      </c>
      <c r="G139" s="3">
        <v>148</v>
      </c>
      <c r="H139" s="7">
        <f t="shared" si="100"/>
        <v>45444</v>
      </c>
      <c r="I139" s="1">
        <f t="shared" si="101"/>
        <v>59</v>
      </c>
      <c r="J139" s="32">
        <f t="shared" si="102"/>
        <v>41</v>
      </c>
      <c r="K139" s="4">
        <f t="shared" si="103"/>
        <v>100</v>
      </c>
      <c r="L139" s="51">
        <f t="shared" si="104"/>
        <v>257</v>
      </c>
      <c r="M139" s="52">
        <f t="shared" si="105"/>
        <v>9</v>
      </c>
      <c r="N139" s="2">
        <f t="shared" si="106"/>
        <v>9</v>
      </c>
      <c r="O139" s="3">
        <f t="shared" si="107"/>
        <v>6</v>
      </c>
    </row>
    <row r="140" spans="1:22" x14ac:dyDescent="0.3">
      <c r="A140" s="5">
        <v>45474</v>
      </c>
      <c r="B140" s="1">
        <v>5535</v>
      </c>
      <c r="C140" s="32">
        <v>5399</v>
      </c>
      <c r="D140" s="51">
        <v>712</v>
      </c>
      <c r="E140" s="52">
        <v>1728</v>
      </c>
      <c r="F140" s="2">
        <v>6469</v>
      </c>
      <c r="G140" s="3">
        <v>154</v>
      </c>
      <c r="H140" s="7">
        <f t="shared" si="100"/>
        <v>45474</v>
      </c>
      <c r="I140" s="1">
        <f t="shared" si="101"/>
        <v>63</v>
      </c>
      <c r="J140" s="32">
        <f t="shared" si="102"/>
        <v>33</v>
      </c>
      <c r="K140" s="4">
        <f t="shared" si="103"/>
        <v>96</v>
      </c>
      <c r="L140" s="51">
        <f t="shared" si="104"/>
        <v>324</v>
      </c>
      <c r="M140" s="52">
        <f t="shared" si="105"/>
        <v>9</v>
      </c>
      <c r="N140" s="2">
        <f t="shared" si="106"/>
        <v>9</v>
      </c>
      <c r="O140" s="3">
        <f t="shared" si="107"/>
        <v>5</v>
      </c>
    </row>
    <row r="141" spans="1:22" x14ac:dyDescent="0.3">
      <c r="A141" s="5">
        <v>45505</v>
      </c>
      <c r="B141" s="1">
        <v>5598</v>
      </c>
      <c r="C141" s="32">
        <v>5432</v>
      </c>
      <c r="D141" s="51">
        <v>821</v>
      </c>
      <c r="E141" s="52">
        <v>2052</v>
      </c>
      <c r="F141" s="2">
        <v>6478</v>
      </c>
      <c r="G141" s="3">
        <v>159</v>
      </c>
      <c r="H141" s="7">
        <f t="shared" si="100"/>
        <v>45505</v>
      </c>
      <c r="I141" s="1">
        <f t="shared" si="101"/>
        <v>59</v>
      </c>
      <c r="J141" s="32">
        <f t="shared" si="102"/>
        <v>38</v>
      </c>
      <c r="K141" s="4">
        <f t="shared" si="103"/>
        <v>97</v>
      </c>
      <c r="L141" s="51">
        <f t="shared" si="104"/>
        <v>252</v>
      </c>
      <c r="M141" s="52">
        <f t="shared" si="105"/>
        <v>8</v>
      </c>
      <c r="N141" s="2">
        <f t="shared" si="106"/>
        <v>8</v>
      </c>
      <c r="O141" s="3">
        <f t="shared" si="107"/>
        <v>6</v>
      </c>
    </row>
    <row r="142" spans="1:22" x14ac:dyDescent="0.3">
      <c r="A142" s="5">
        <v>45536</v>
      </c>
      <c r="B142" s="1">
        <v>5657</v>
      </c>
      <c r="C142" s="32">
        <v>5470</v>
      </c>
      <c r="D142" s="51">
        <v>942</v>
      </c>
      <c r="E142" s="52">
        <v>2304</v>
      </c>
      <c r="F142" s="2">
        <v>6486</v>
      </c>
      <c r="G142" s="3">
        <v>165</v>
      </c>
      <c r="H142" s="7">
        <f t="shared" si="100"/>
        <v>45536</v>
      </c>
      <c r="I142" s="1">
        <f t="shared" si="101"/>
        <v>61</v>
      </c>
      <c r="J142" s="32">
        <f t="shared" si="102"/>
        <v>63</v>
      </c>
      <c r="K142" s="4">
        <f t="shared" si="103"/>
        <v>124</v>
      </c>
      <c r="L142" s="51">
        <f t="shared" si="104"/>
        <v>149</v>
      </c>
      <c r="M142" s="52">
        <f t="shared" si="105"/>
        <v>8</v>
      </c>
      <c r="N142" s="2">
        <f t="shared" si="106"/>
        <v>8</v>
      </c>
      <c r="O142" s="3">
        <f t="shared" si="107"/>
        <v>5</v>
      </c>
    </row>
    <row r="143" spans="1:22" x14ac:dyDescent="0.3">
      <c r="A143" s="5">
        <v>45566</v>
      </c>
      <c r="B143" s="1">
        <v>5718</v>
      </c>
      <c r="C143" s="32">
        <v>5533</v>
      </c>
      <c r="D143" s="51">
        <v>1025</v>
      </c>
      <c r="E143" s="52">
        <v>2453</v>
      </c>
      <c r="F143" s="2">
        <v>6494</v>
      </c>
      <c r="G143" s="3">
        <v>170</v>
      </c>
      <c r="H143" s="7">
        <f t="shared" si="100"/>
        <v>45566</v>
      </c>
      <c r="I143" s="1">
        <f t="shared" si="101"/>
        <v>68</v>
      </c>
      <c r="J143" s="32">
        <f t="shared" si="102"/>
        <v>91</v>
      </c>
      <c r="K143" s="4">
        <f t="shared" si="103"/>
        <v>159</v>
      </c>
      <c r="L143" s="51">
        <f t="shared" si="104"/>
        <v>76</v>
      </c>
      <c r="M143" s="52">
        <f t="shared" si="105"/>
        <v>29</v>
      </c>
      <c r="N143" s="2">
        <f t="shared" si="106"/>
        <v>29</v>
      </c>
      <c r="O143" s="3">
        <f t="shared" si="107"/>
        <v>6</v>
      </c>
    </row>
    <row r="144" spans="1:22" x14ac:dyDescent="0.3">
      <c r="A144" s="5">
        <v>45597</v>
      </c>
      <c r="B144" s="1">
        <v>5786</v>
      </c>
      <c r="C144" s="32">
        <v>5624</v>
      </c>
      <c r="D144" s="51">
        <v>1060</v>
      </c>
      <c r="E144" s="52">
        <v>2529</v>
      </c>
      <c r="F144" s="2">
        <v>6523</v>
      </c>
      <c r="G144" s="3">
        <v>176</v>
      </c>
      <c r="H144" s="7">
        <f t="shared" si="100"/>
        <v>45597</v>
      </c>
      <c r="I144" s="1">
        <f t="shared" si="101"/>
        <v>122</v>
      </c>
      <c r="J144" s="32">
        <f t="shared" si="102"/>
        <v>128</v>
      </c>
      <c r="K144" s="4">
        <f t="shared" si="103"/>
        <v>250</v>
      </c>
      <c r="L144" s="51">
        <f t="shared" si="104"/>
        <v>19</v>
      </c>
      <c r="M144" s="52">
        <f t="shared" si="105"/>
        <v>92</v>
      </c>
      <c r="N144" s="2">
        <f t="shared" si="106"/>
        <v>92</v>
      </c>
      <c r="O144" s="3">
        <f t="shared" si="107"/>
        <v>6</v>
      </c>
      <c r="Q144" s="57">
        <f>SUM(L134:L145)</f>
        <v>1620</v>
      </c>
      <c r="R144" s="56">
        <f>SUM(M134:M145)</f>
        <v>486</v>
      </c>
      <c r="S144" s="58">
        <f>Q144+R144</f>
        <v>2106</v>
      </c>
    </row>
    <row r="145" spans="1:22" x14ac:dyDescent="0.3">
      <c r="A145" s="5">
        <v>45627</v>
      </c>
      <c r="B145" s="1">
        <v>5908</v>
      </c>
      <c r="C145" s="32">
        <v>5752</v>
      </c>
      <c r="D145" s="51">
        <v>1069</v>
      </c>
      <c r="E145" s="52">
        <v>2548</v>
      </c>
      <c r="F145" s="2">
        <v>6615</v>
      </c>
      <c r="G145" s="3">
        <v>182</v>
      </c>
      <c r="H145" s="7">
        <f t="shared" si="100"/>
        <v>45627</v>
      </c>
      <c r="I145" s="1">
        <f>IF(B147="","",B147-B145)</f>
        <v>176</v>
      </c>
      <c r="J145" s="32">
        <f>IF(C147="","",C147-C145)</f>
        <v>159</v>
      </c>
      <c r="K145" s="4">
        <f t="shared" si="103"/>
        <v>335</v>
      </c>
      <c r="L145" s="51">
        <f t="shared" ref="L145" si="108">IF(E147="","",E147-E145)</f>
        <v>3</v>
      </c>
      <c r="M145" s="52">
        <f t="shared" ref="M145" si="109">IF(F147="","",F147-F145)</f>
        <v>115</v>
      </c>
      <c r="N145" s="2">
        <f>IF(F147="","",F147-F145)</f>
        <v>115</v>
      </c>
      <c r="O145" s="3">
        <f>IF(G147="","",G147-G145)</f>
        <v>7</v>
      </c>
      <c r="Q145" s="65">
        <f>SUM(I134:I145)</f>
        <v>1084</v>
      </c>
      <c r="R145" s="30">
        <f t="shared" ref="R145" si="110">SUM(J134:J145)</f>
        <v>1103</v>
      </c>
      <c r="S145" s="41">
        <f t="shared" ref="S145" si="111">SUM(K134:K145)</f>
        <v>2187</v>
      </c>
      <c r="T145" s="64">
        <f t="shared" ref="T145" si="112">SUM(N134:N145)</f>
        <v>486</v>
      </c>
      <c r="U145" s="66">
        <f t="shared" ref="U145" si="113">SUM(O134:O145)</f>
        <v>71</v>
      </c>
    </row>
    <row r="146" spans="1:22" x14ac:dyDescent="0.3">
      <c r="B146" s="71">
        <v>2025</v>
      </c>
      <c r="C146" s="71"/>
      <c r="D146" s="71"/>
      <c r="E146" s="71"/>
      <c r="F146" s="71"/>
      <c r="G146" s="71"/>
      <c r="H146" s="6"/>
      <c r="I146" s="71">
        <v>2025</v>
      </c>
      <c r="J146" s="71"/>
      <c r="K146" s="71"/>
      <c r="L146" s="71"/>
      <c r="M146" s="71"/>
      <c r="N146" s="71"/>
      <c r="O146" s="71"/>
      <c r="P146" s="43"/>
      <c r="Q146" s="72">
        <v>2025</v>
      </c>
      <c r="R146" s="72"/>
      <c r="S146" s="72"/>
      <c r="T146" s="72"/>
      <c r="U146" s="72"/>
      <c r="V146" s="43"/>
    </row>
    <row r="147" spans="1:22" x14ac:dyDescent="0.3">
      <c r="A147" s="5">
        <v>45658</v>
      </c>
      <c r="B147" s="1">
        <v>6084</v>
      </c>
      <c r="C147" s="32">
        <v>5911</v>
      </c>
      <c r="D147" s="51">
        <v>1071</v>
      </c>
      <c r="E147" s="52">
        <v>2551</v>
      </c>
      <c r="F147" s="2">
        <v>6730</v>
      </c>
      <c r="G147" s="3">
        <v>189</v>
      </c>
      <c r="H147" s="7">
        <f>A147</f>
        <v>45658</v>
      </c>
      <c r="I147" s="1" t="str">
        <f>IF(B148="","",B148-B147)</f>
        <v/>
      </c>
      <c r="J147" s="32" t="str">
        <f t="shared" ref="J147" si="114">IF(C148="","",C148-C147)</f>
        <v/>
      </c>
      <c r="K147" s="4" t="str">
        <f>IF(I147="","",I147+J147)</f>
        <v/>
      </c>
      <c r="L147" s="51" t="str">
        <f>IF(E148="","",E148-E147)</f>
        <v/>
      </c>
      <c r="M147" s="52" t="str">
        <f>IF(F148="","",F148-F147)</f>
        <v/>
      </c>
      <c r="N147" s="2" t="str">
        <f t="shared" ref="N147" si="115">IF(F148="","",F148-F147)</f>
        <v/>
      </c>
      <c r="O147" s="3" t="str">
        <f t="shared" ref="O147" si="116">IF(G148="","",G148-G147)</f>
        <v/>
      </c>
    </row>
    <row r="148" spans="1:22" x14ac:dyDescent="0.3">
      <c r="A148" s="5">
        <v>45689</v>
      </c>
      <c r="B148" s="1"/>
      <c r="C148" s="32"/>
      <c r="D148" s="51"/>
      <c r="E148" s="52"/>
      <c r="F148" s="2"/>
      <c r="G148" s="3"/>
      <c r="H148" s="7">
        <f t="shared" ref="H148:H158" si="117">A148</f>
        <v>45689</v>
      </c>
      <c r="I148" s="1" t="str">
        <f t="shared" ref="I148:I157" si="118">IF(B149="","",B149-B148)</f>
        <v/>
      </c>
      <c r="J148" s="32" t="str">
        <f t="shared" ref="J148:J157" si="119">IF(C149="","",C149-C148)</f>
        <v/>
      </c>
      <c r="K148" s="4" t="str">
        <f t="shared" ref="K148:K158" si="120">IF(I148="","",I148+J148)</f>
        <v/>
      </c>
      <c r="L148" s="51" t="str">
        <f t="shared" ref="L148:L157" si="121">IF(E149="","",E149-E148)</f>
        <v/>
      </c>
      <c r="M148" s="52" t="str">
        <f t="shared" ref="M148:M157" si="122">IF(F149="","",F149-F148)</f>
        <v/>
      </c>
      <c r="N148" s="2" t="str">
        <f t="shared" ref="N148:N157" si="123">IF(F149="","",F149-F148)</f>
        <v/>
      </c>
      <c r="O148" s="3" t="str">
        <f t="shared" ref="O148:O157" si="124">IF(G149="","",G149-G148)</f>
        <v/>
      </c>
    </row>
    <row r="149" spans="1:22" x14ac:dyDescent="0.3">
      <c r="A149" s="5">
        <v>45717</v>
      </c>
      <c r="B149" s="1"/>
      <c r="C149" s="32"/>
      <c r="D149" s="51"/>
      <c r="E149" s="52"/>
      <c r="F149" s="2"/>
      <c r="G149" s="3"/>
      <c r="H149" s="7">
        <f t="shared" si="117"/>
        <v>45717</v>
      </c>
      <c r="I149" s="1" t="str">
        <f t="shared" si="118"/>
        <v/>
      </c>
      <c r="J149" s="32" t="str">
        <f t="shared" si="119"/>
        <v/>
      </c>
      <c r="K149" s="4" t="str">
        <f t="shared" si="120"/>
        <v/>
      </c>
      <c r="L149" s="51" t="str">
        <f t="shared" si="121"/>
        <v/>
      </c>
      <c r="M149" s="52" t="str">
        <f t="shared" si="122"/>
        <v/>
      </c>
      <c r="N149" s="2" t="str">
        <f t="shared" si="123"/>
        <v/>
      </c>
      <c r="O149" s="3" t="str">
        <f t="shared" si="124"/>
        <v/>
      </c>
    </row>
    <row r="150" spans="1:22" x14ac:dyDescent="0.3">
      <c r="A150" s="5">
        <v>45748</v>
      </c>
      <c r="B150" s="1"/>
      <c r="C150" s="32"/>
      <c r="D150" s="51"/>
      <c r="E150" s="52"/>
      <c r="F150" s="2"/>
      <c r="G150" s="3"/>
      <c r="H150" s="7">
        <f t="shared" si="117"/>
        <v>45748</v>
      </c>
      <c r="I150" s="1" t="str">
        <f t="shared" si="118"/>
        <v/>
      </c>
      <c r="J150" s="32" t="str">
        <f t="shared" si="119"/>
        <v/>
      </c>
      <c r="K150" s="4" t="str">
        <f t="shared" si="120"/>
        <v/>
      </c>
      <c r="L150" s="51" t="str">
        <f t="shared" si="121"/>
        <v/>
      </c>
      <c r="M150" s="52" t="str">
        <f t="shared" si="122"/>
        <v/>
      </c>
      <c r="N150" s="2" t="str">
        <f t="shared" si="123"/>
        <v/>
      </c>
      <c r="O150" s="3" t="str">
        <f t="shared" si="124"/>
        <v/>
      </c>
    </row>
    <row r="151" spans="1:22" x14ac:dyDescent="0.3">
      <c r="A151" s="5">
        <v>45778</v>
      </c>
      <c r="B151" s="1"/>
      <c r="C151" s="32"/>
      <c r="D151" s="51"/>
      <c r="E151" s="52"/>
      <c r="F151" s="2"/>
      <c r="G151" s="3"/>
      <c r="H151" s="7">
        <f t="shared" si="117"/>
        <v>45778</v>
      </c>
      <c r="I151" s="1" t="str">
        <f t="shared" si="118"/>
        <v/>
      </c>
      <c r="J151" s="32" t="str">
        <f t="shared" si="119"/>
        <v/>
      </c>
      <c r="K151" s="4" t="str">
        <f t="shared" si="120"/>
        <v/>
      </c>
      <c r="L151" s="51" t="str">
        <f t="shared" si="121"/>
        <v/>
      </c>
      <c r="M151" s="52" t="str">
        <f t="shared" si="122"/>
        <v/>
      </c>
      <c r="N151" s="2" t="str">
        <f t="shared" si="123"/>
        <v/>
      </c>
      <c r="O151" s="3" t="str">
        <f t="shared" si="124"/>
        <v/>
      </c>
    </row>
    <row r="152" spans="1:22" x14ac:dyDescent="0.3">
      <c r="A152" s="5">
        <v>45809</v>
      </c>
      <c r="B152" s="1"/>
      <c r="C152" s="32"/>
      <c r="D152" s="51"/>
      <c r="E152" s="52"/>
      <c r="F152" s="2"/>
      <c r="G152" s="3"/>
      <c r="H152" s="7">
        <f t="shared" si="117"/>
        <v>45809</v>
      </c>
      <c r="I152" s="1" t="str">
        <f t="shared" si="118"/>
        <v/>
      </c>
      <c r="J152" s="32" t="str">
        <f t="shared" si="119"/>
        <v/>
      </c>
      <c r="K152" s="4" t="str">
        <f t="shared" si="120"/>
        <v/>
      </c>
      <c r="L152" s="51" t="str">
        <f t="shared" si="121"/>
        <v/>
      </c>
      <c r="M152" s="52" t="str">
        <f t="shared" si="122"/>
        <v/>
      </c>
      <c r="N152" s="2" t="str">
        <f t="shared" si="123"/>
        <v/>
      </c>
      <c r="O152" s="3" t="str">
        <f t="shared" si="124"/>
        <v/>
      </c>
    </row>
    <row r="153" spans="1:22" x14ac:dyDescent="0.3">
      <c r="A153" s="5">
        <v>45839</v>
      </c>
      <c r="B153" s="1"/>
      <c r="C153" s="32"/>
      <c r="D153" s="51"/>
      <c r="E153" s="52"/>
      <c r="F153" s="2"/>
      <c r="G153" s="3"/>
      <c r="H153" s="7">
        <f t="shared" si="117"/>
        <v>45839</v>
      </c>
      <c r="I153" s="1" t="str">
        <f t="shared" si="118"/>
        <v/>
      </c>
      <c r="J153" s="32" t="str">
        <f t="shared" si="119"/>
        <v/>
      </c>
      <c r="K153" s="4" t="str">
        <f t="shared" si="120"/>
        <v/>
      </c>
      <c r="L153" s="51" t="str">
        <f t="shared" si="121"/>
        <v/>
      </c>
      <c r="M153" s="52" t="str">
        <f t="shared" si="122"/>
        <v/>
      </c>
      <c r="N153" s="2" t="str">
        <f t="shared" si="123"/>
        <v/>
      </c>
      <c r="O153" s="3" t="str">
        <f t="shared" si="124"/>
        <v/>
      </c>
    </row>
    <row r="154" spans="1:22" x14ac:dyDescent="0.3">
      <c r="A154" s="5">
        <v>45870</v>
      </c>
      <c r="B154" s="1"/>
      <c r="C154" s="32"/>
      <c r="D154" s="51"/>
      <c r="E154" s="52"/>
      <c r="F154" s="2"/>
      <c r="G154" s="3"/>
      <c r="H154" s="7">
        <f t="shared" si="117"/>
        <v>45870</v>
      </c>
      <c r="I154" s="1" t="str">
        <f t="shared" si="118"/>
        <v/>
      </c>
      <c r="J154" s="32" t="str">
        <f t="shared" si="119"/>
        <v/>
      </c>
      <c r="K154" s="4" t="str">
        <f t="shared" si="120"/>
        <v/>
      </c>
      <c r="L154" s="51" t="str">
        <f t="shared" si="121"/>
        <v/>
      </c>
      <c r="M154" s="52" t="str">
        <f t="shared" si="122"/>
        <v/>
      </c>
      <c r="N154" s="2" t="str">
        <f t="shared" si="123"/>
        <v/>
      </c>
      <c r="O154" s="3" t="str">
        <f t="shared" si="124"/>
        <v/>
      </c>
    </row>
    <row r="155" spans="1:22" x14ac:dyDescent="0.3">
      <c r="A155" s="5">
        <v>45901</v>
      </c>
      <c r="B155" s="1"/>
      <c r="C155" s="32"/>
      <c r="D155" s="51"/>
      <c r="E155" s="52"/>
      <c r="F155" s="2"/>
      <c r="G155" s="3"/>
      <c r="H155" s="7">
        <f t="shared" si="117"/>
        <v>45901</v>
      </c>
      <c r="I155" s="1" t="str">
        <f t="shared" si="118"/>
        <v/>
      </c>
      <c r="J155" s="32" t="str">
        <f t="shared" si="119"/>
        <v/>
      </c>
      <c r="K155" s="4" t="str">
        <f t="shared" si="120"/>
        <v/>
      </c>
      <c r="L155" s="51" t="str">
        <f t="shared" si="121"/>
        <v/>
      </c>
      <c r="M155" s="52" t="str">
        <f t="shared" si="122"/>
        <v/>
      </c>
      <c r="N155" s="2" t="str">
        <f t="shared" si="123"/>
        <v/>
      </c>
      <c r="O155" s="3" t="str">
        <f t="shared" si="124"/>
        <v/>
      </c>
    </row>
    <row r="156" spans="1:22" x14ac:dyDescent="0.3">
      <c r="A156" s="5">
        <v>45931</v>
      </c>
      <c r="B156" s="1"/>
      <c r="C156" s="32"/>
      <c r="D156" s="51"/>
      <c r="E156" s="52"/>
      <c r="F156" s="2"/>
      <c r="G156" s="3"/>
      <c r="H156" s="7">
        <f t="shared" si="117"/>
        <v>45931</v>
      </c>
      <c r="I156" s="1" t="str">
        <f t="shared" si="118"/>
        <v/>
      </c>
      <c r="J156" s="32" t="str">
        <f t="shared" si="119"/>
        <v/>
      </c>
      <c r="K156" s="4" t="str">
        <f t="shared" si="120"/>
        <v/>
      </c>
      <c r="L156" s="51" t="str">
        <f t="shared" si="121"/>
        <v/>
      </c>
      <c r="M156" s="52" t="str">
        <f t="shared" si="122"/>
        <v/>
      </c>
      <c r="N156" s="2" t="str">
        <f t="shared" si="123"/>
        <v/>
      </c>
      <c r="O156" s="3" t="str">
        <f t="shared" si="124"/>
        <v/>
      </c>
    </row>
    <row r="157" spans="1:22" x14ac:dyDescent="0.3">
      <c r="A157" s="5">
        <v>45962</v>
      </c>
      <c r="B157" s="1"/>
      <c r="C157" s="32"/>
      <c r="D157" s="51"/>
      <c r="E157" s="52"/>
      <c r="F157" s="2"/>
      <c r="G157" s="3"/>
      <c r="H157" s="7">
        <f t="shared" si="117"/>
        <v>45962</v>
      </c>
      <c r="I157" s="1" t="str">
        <f t="shared" si="118"/>
        <v/>
      </c>
      <c r="J157" s="32" t="str">
        <f t="shared" si="119"/>
        <v/>
      </c>
      <c r="K157" s="4" t="str">
        <f t="shared" si="120"/>
        <v/>
      </c>
      <c r="L157" s="51" t="str">
        <f t="shared" si="121"/>
        <v/>
      </c>
      <c r="M157" s="52" t="str">
        <f t="shared" si="122"/>
        <v/>
      </c>
      <c r="N157" s="2" t="str">
        <f t="shared" si="123"/>
        <v/>
      </c>
      <c r="O157" s="3" t="str">
        <f t="shared" si="124"/>
        <v/>
      </c>
      <c r="Q157" s="57">
        <f>SUM(L147:L158)</f>
        <v>0</v>
      </c>
      <c r="R157" s="56">
        <f>SUM(M147:M158)</f>
        <v>0</v>
      </c>
      <c r="S157" s="58">
        <f>Q157+R157</f>
        <v>0</v>
      </c>
    </row>
    <row r="158" spans="1:22" x14ac:dyDescent="0.3">
      <c r="A158" s="5">
        <v>45992</v>
      </c>
      <c r="B158" s="1"/>
      <c r="C158" s="32"/>
      <c r="D158" s="51"/>
      <c r="E158" s="52"/>
      <c r="F158" s="2"/>
      <c r="G158" s="3"/>
      <c r="H158" s="7">
        <f t="shared" si="117"/>
        <v>45992</v>
      </c>
      <c r="I158" s="1" t="str">
        <f>IF(B160="","",B160-B158)</f>
        <v/>
      </c>
      <c r="J158" s="32" t="str">
        <f>IF(C160="","",C160-C158)</f>
        <v/>
      </c>
      <c r="K158" s="4" t="str">
        <f t="shared" si="120"/>
        <v/>
      </c>
      <c r="L158" s="51" t="str">
        <f t="shared" ref="L158" si="125">IF(E160="","",E160-E158)</f>
        <v/>
      </c>
      <c r="M158" s="52" t="str">
        <f t="shared" ref="M158" si="126">IF(F160="","",F160-F158)</f>
        <v/>
      </c>
      <c r="N158" s="2" t="str">
        <f>IF(F160="","",F160-F158)</f>
        <v/>
      </c>
      <c r="O158" s="3" t="str">
        <f>IF(G160="","",G160-G158)</f>
        <v/>
      </c>
      <c r="Q158" s="65">
        <f>SUM(I147:I158)</f>
        <v>0</v>
      </c>
      <c r="R158" s="30">
        <f t="shared" ref="R158" si="127">SUM(J147:J158)</f>
        <v>0</v>
      </c>
      <c r="S158" s="41">
        <f t="shared" ref="S158" si="128">SUM(K147:K158)</f>
        <v>0</v>
      </c>
      <c r="T158" s="64">
        <f t="shared" ref="T158" si="129">SUM(N147:N158)</f>
        <v>0</v>
      </c>
      <c r="U158" s="66">
        <f t="shared" ref="U158" si="130">SUM(O147:O158)</f>
        <v>0</v>
      </c>
    </row>
    <row r="159" spans="1:22" x14ac:dyDescent="0.3">
      <c r="B159" s="71">
        <v>2026</v>
      </c>
      <c r="C159" s="71"/>
      <c r="D159" s="71"/>
      <c r="E159" s="71"/>
      <c r="F159" s="71"/>
      <c r="G159" s="71"/>
      <c r="H159" s="6"/>
      <c r="I159" s="71">
        <v>2026</v>
      </c>
      <c r="J159" s="71"/>
      <c r="K159" s="71"/>
      <c r="L159" s="71"/>
      <c r="M159" s="71"/>
      <c r="N159" s="71"/>
      <c r="O159" s="71"/>
      <c r="P159" s="43"/>
      <c r="Q159" s="72">
        <v>2025</v>
      </c>
      <c r="R159" s="72"/>
      <c r="S159" s="72"/>
      <c r="T159" s="72"/>
      <c r="U159" s="72"/>
      <c r="V159" s="43"/>
    </row>
    <row r="160" spans="1:22" x14ac:dyDescent="0.3">
      <c r="A160" s="5">
        <v>46023</v>
      </c>
      <c r="B160" s="1"/>
      <c r="C160" s="32"/>
      <c r="D160" s="51"/>
      <c r="E160" s="52"/>
      <c r="F160" s="2"/>
      <c r="G160" s="3"/>
      <c r="H160" s="7">
        <f>A160</f>
        <v>46023</v>
      </c>
      <c r="I160" s="1"/>
      <c r="J160" s="32"/>
      <c r="K160" s="4"/>
      <c r="L160" s="51"/>
      <c r="M160" s="52"/>
      <c r="N160" s="2"/>
      <c r="O160" s="3"/>
    </row>
  </sheetData>
  <mergeCells count="42">
    <mergeCell ref="Q1:U1"/>
    <mergeCell ref="B1:G1"/>
    <mergeCell ref="I1:O1"/>
    <mergeCell ref="B133:G133"/>
    <mergeCell ref="I133:O133"/>
    <mergeCell ref="Q133:U133"/>
    <mergeCell ref="Q29:U29"/>
    <mergeCell ref="I81:O81"/>
    <mergeCell ref="I94:O94"/>
    <mergeCell ref="B68:G68"/>
    <mergeCell ref="I42:O42"/>
    <mergeCell ref="Q42:U42"/>
    <mergeCell ref="I68:O68"/>
    <mergeCell ref="Q68:U68"/>
    <mergeCell ref="B42:G42"/>
    <mergeCell ref="B120:G120"/>
    <mergeCell ref="B16:G16"/>
    <mergeCell ref="I16:O16"/>
    <mergeCell ref="B3:G3"/>
    <mergeCell ref="I3:O3"/>
    <mergeCell ref="Q55:U55"/>
    <mergeCell ref="Q16:U16"/>
    <mergeCell ref="Q3:U3"/>
    <mergeCell ref="B55:G55"/>
    <mergeCell ref="I55:O55"/>
    <mergeCell ref="B29:G29"/>
    <mergeCell ref="I29:O29"/>
    <mergeCell ref="Q120:U120"/>
    <mergeCell ref="B107:G107"/>
    <mergeCell ref="I107:O107"/>
    <mergeCell ref="Q81:U81"/>
    <mergeCell ref="Q94:U94"/>
    <mergeCell ref="Q107:U107"/>
    <mergeCell ref="B81:G81"/>
    <mergeCell ref="B94:G94"/>
    <mergeCell ref="I120:O120"/>
    <mergeCell ref="B159:G159"/>
    <mergeCell ref="I159:O159"/>
    <mergeCell ref="Q159:U159"/>
    <mergeCell ref="B146:G146"/>
    <mergeCell ref="I146:O146"/>
    <mergeCell ref="Q146:U146"/>
  </mergeCells>
  <phoneticPr fontId="8" type="noConversion"/>
  <pageMargins left="0.7" right="0.7" top="0.75" bottom="0.75" header="0.3" footer="0.3"/>
  <pageSetup paperSize="9" orientation="portrait" horizontalDpi="4294967293" r:id="rId1"/>
  <ignoredErrors>
    <ignoredError sqref="Q93:U93" formulaRange="1"/>
    <ignoredError sqref="K82 K83:K93 K95:K106 K132 K134:K14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6F1A-C69B-4BAE-A5A9-C6919092B4F3}">
  <dimension ref="A1:I11"/>
  <sheetViews>
    <sheetView tabSelected="1" topLeftCell="A24" zoomScale="90" zoomScaleNormal="90" workbookViewId="0">
      <selection activeCell="G40" sqref="G40"/>
    </sheetView>
  </sheetViews>
  <sheetFormatPr defaultRowHeight="14.4" x14ac:dyDescent="0.3"/>
  <cols>
    <col min="1" max="1" width="7" customWidth="1"/>
    <col min="2" max="6" width="7.44140625" customWidth="1"/>
  </cols>
  <sheetData>
    <row r="1" spans="1:9" ht="28.8" x14ac:dyDescent="0.3">
      <c r="A1" s="46" t="s">
        <v>21</v>
      </c>
      <c r="B1" s="63" t="s">
        <v>22</v>
      </c>
      <c r="C1" s="63" t="s">
        <v>23</v>
      </c>
      <c r="D1" s="63" t="s">
        <v>24</v>
      </c>
      <c r="E1" s="63" t="s">
        <v>7</v>
      </c>
      <c r="F1" s="63" t="s">
        <v>8</v>
      </c>
      <c r="G1" s="63" t="s">
        <v>5</v>
      </c>
      <c r="H1" s="63" t="s">
        <v>25</v>
      </c>
      <c r="I1" s="63" t="s">
        <v>26</v>
      </c>
    </row>
    <row r="2" spans="1:9" x14ac:dyDescent="0.3">
      <c r="A2">
        <v>2014</v>
      </c>
      <c r="B2">
        <f>Meterstanden!Q15</f>
        <v>0</v>
      </c>
      <c r="C2">
        <f>Meterstanden!R15</f>
        <v>3509</v>
      </c>
      <c r="D2">
        <f>Meterstanden!S15</f>
        <v>3509</v>
      </c>
      <c r="E2">
        <f>Meterstanden!T15</f>
        <v>1090</v>
      </c>
      <c r="F2">
        <f>Meterstanden!U15</f>
        <v>145</v>
      </c>
    </row>
    <row r="3" spans="1:9" x14ac:dyDescent="0.3">
      <c r="A3">
        <v>2015</v>
      </c>
      <c r="B3">
        <f>Meterstanden!Q28</f>
        <v>0</v>
      </c>
      <c r="C3">
        <f>Meterstanden!R28</f>
        <v>3544</v>
      </c>
      <c r="D3">
        <f>Meterstanden!S28</f>
        <v>3544</v>
      </c>
      <c r="E3">
        <f>Meterstanden!T28</f>
        <v>1225</v>
      </c>
      <c r="F3">
        <f>Meterstanden!U28</f>
        <v>140</v>
      </c>
    </row>
    <row r="4" spans="1:9" x14ac:dyDescent="0.3">
      <c r="A4">
        <v>2016</v>
      </c>
      <c r="B4">
        <f>Meterstanden!Q41</f>
        <v>0</v>
      </c>
      <c r="C4">
        <f>Meterstanden!R41</f>
        <v>3369</v>
      </c>
      <c r="D4">
        <f>Meterstanden!S41</f>
        <v>3369</v>
      </c>
      <c r="E4">
        <f>Meterstanden!T41</f>
        <v>1294</v>
      </c>
      <c r="F4">
        <f>Meterstanden!U41</f>
        <v>171</v>
      </c>
    </row>
    <row r="5" spans="1:9" x14ac:dyDescent="0.3">
      <c r="A5">
        <v>2017</v>
      </c>
      <c r="B5">
        <f>Meterstanden!Q54</f>
        <v>861</v>
      </c>
      <c r="C5">
        <f>Meterstanden!R54</f>
        <v>1927</v>
      </c>
      <c r="D5">
        <f>Meterstanden!S54</f>
        <v>2899</v>
      </c>
      <c r="E5">
        <f>Meterstanden!T54</f>
        <v>1335</v>
      </c>
      <c r="F5">
        <f>Meterstanden!U54</f>
        <v>109</v>
      </c>
    </row>
    <row r="6" spans="1:9" x14ac:dyDescent="0.3">
      <c r="A6">
        <v>2018</v>
      </c>
      <c r="B6">
        <f>Meterstanden!Q67</f>
        <v>1783</v>
      </c>
      <c r="C6">
        <f>Meterstanden!R67</f>
        <v>1547</v>
      </c>
      <c r="D6">
        <f>Meterstanden!S67</f>
        <v>3330</v>
      </c>
      <c r="E6">
        <f>Meterstanden!T67</f>
        <v>1161</v>
      </c>
      <c r="F6">
        <f>Meterstanden!U67</f>
        <v>86</v>
      </c>
    </row>
    <row r="7" spans="1:9" x14ac:dyDescent="0.3">
      <c r="A7">
        <v>2019</v>
      </c>
      <c r="B7">
        <f>Meterstanden!Q80</f>
        <v>1796</v>
      </c>
      <c r="C7">
        <f>Meterstanden!R80</f>
        <v>1621</v>
      </c>
      <c r="D7">
        <f>Meterstanden!S80</f>
        <v>3417</v>
      </c>
      <c r="E7">
        <f>Meterstanden!T80</f>
        <v>1316</v>
      </c>
      <c r="F7">
        <f>Meterstanden!U80</f>
        <v>97</v>
      </c>
    </row>
    <row r="8" spans="1:9" x14ac:dyDescent="0.3">
      <c r="A8">
        <v>2020</v>
      </c>
      <c r="B8">
        <f>Meterstanden!Q93</f>
        <v>1778</v>
      </c>
      <c r="C8">
        <f>Meterstanden!R93</f>
        <v>1793</v>
      </c>
      <c r="D8">
        <f>Meterstanden!S93</f>
        <v>3571</v>
      </c>
      <c r="E8">
        <f>Meterstanden!T93</f>
        <v>1266</v>
      </c>
      <c r="F8">
        <f>Meterstanden!U93</f>
        <v>112</v>
      </c>
    </row>
    <row r="9" spans="1:9" x14ac:dyDescent="0.3">
      <c r="A9">
        <v>2021</v>
      </c>
      <c r="B9">
        <f>Meterstanden!Q106</f>
        <v>1823</v>
      </c>
      <c r="C9">
        <f>Meterstanden!R106</f>
        <v>1931</v>
      </c>
      <c r="D9">
        <f>Meterstanden!S106</f>
        <v>3754</v>
      </c>
      <c r="E9">
        <f>Meterstanden!T106</f>
        <v>988</v>
      </c>
      <c r="F9">
        <f>Meterstanden!U106</f>
        <v>107</v>
      </c>
    </row>
    <row r="10" spans="1:9" x14ac:dyDescent="0.3">
      <c r="A10">
        <v>2022</v>
      </c>
      <c r="B10">
        <f>Meterstanden!Q119</f>
        <v>1839</v>
      </c>
      <c r="C10">
        <f>Meterstanden!R119</f>
        <v>1693</v>
      </c>
      <c r="D10">
        <f>Meterstanden!S119</f>
        <v>3532</v>
      </c>
      <c r="E10">
        <f>Meterstanden!T119</f>
        <v>557</v>
      </c>
      <c r="F10">
        <f>Meterstanden!U119</f>
        <v>92</v>
      </c>
    </row>
    <row r="11" spans="1:9" x14ac:dyDescent="0.3">
      <c r="A11">
        <v>2023</v>
      </c>
      <c r="B11">
        <f>Meterstanden!Q132</f>
        <v>1422</v>
      </c>
      <c r="C11">
        <f>Meterstanden!R132</f>
        <v>1299</v>
      </c>
      <c r="D11">
        <f>Meterstanden!S132</f>
        <v>2721</v>
      </c>
      <c r="E11">
        <f>Meterstanden!T132</f>
        <v>394</v>
      </c>
      <c r="F11">
        <f>Meterstanden!U132</f>
        <v>69</v>
      </c>
      <c r="G11">
        <f>Meterstanden!Q131</f>
        <v>332</v>
      </c>
      <c r="H11">
        <f>Meterstanden!R131</f>
        <v>993</v>
      </c>
      <c r="I11">
        <f>Meterstanden!S131</f>
        <v>1325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381C-CF88-4B94-BD9C-8546109E8CB1}">
  <dimension ref="A1:L44"/>
  <sheetViews>
    <sheetView workbookViewId="0">
      <selection activeCell="G3" sqref="G3"/>
    </sheetView>
  </sheetViews>
  <sheetFormatPr defaultRowHeight="14.4" x14ac:dyDescent="0.3"/>
  <cols>
    <col min="1" max="1" width="10" style="46" bestFit="1" customWidth="1"/>
    <col min="2" max="12" width="6.33203125" customWidth="1"/>
  </cols>
  <sheetData>
    <row r="1" spans="1:12" x14ac:dyDescent="0.3">
      <c r="B1" s="75" t="s">
        <v>27</v>
      </c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x14ac:dyDescent="0.3">
      <c r="B2" s="46">
        <v>2014</v>
      </c>
      <c r="C2" s="46">
        <v>2015</v>
      </c>
      <c r="D2" s="46">
        <v>2016</v>
      </c>
      <c r="E2" s="46">
        <v>2017</v>
      </c>
      <c r="F2" s="46">
        <v>2018</v>
      </c>
      <c r="G2" s="46">
        <v>2019</v>
      </c>
      <c r="H2" s="46">
        <v>2020</v>
      </c>
      <c r="I2" s="46">
        <v>2021</v>
      </c>
      <c r="J2" s="46">
        <v>2022</v>
      </c>
      <c r="K2" s="46">
        <v>2023</v>
      </c>
      <c r="L2" s="46">
        <v>2024</v>
      </c>
    </row>
    <row r="3" spans="1:12" x14ac:dyDescent="0.3">
      <c r="A3" s="46" t="s">
        <v>28</v>
      </c>
      <c r="B3">
        <f>Meterstanden!K4</f>
        <v>267</v>
      </c>
      <c r="C3">
        <f>Meterstanden!K17</f>
        <v>335</v>
      </c>
      <c r="D3">
        <f>Meterstanden!K30</f>
        <v>317</v>
      </c>
      <c r="E3">
        <f>Meterstanden!K43</f>
        <v>269</v>
      </c>
      <c r="F3">
        <f>Meterstanden!K56</f>
        <v>292</v>
      </c>
      <c r="G3">
        <f>Meterstanden!K69</f>
        <v>343</v>
      </c>
      <c r="H3">
        <f>Meterstanden!K82</f>
        <v>353</v>
      </c>
      <c r="I3">
        <f>Meterstanden!K95</f>
        <v>199</v>
      </c>
      <c r="J3">
        <f>Meterstanden!K108</f>
        <v>430</v>
      </c>
      <c r="K3" s="59">
        <f>Meterstanden!K121</f>
        <v>362</v>
      </c>
      <c r="L3">
        <f>Meterstanden!K134</f>
        <v>340</v>
      </c>
    </row>
    <row r="4" spans="1:12" x14ac:dyDescent="0.3">
      <c r="A4" s="46" t="s">
        <v>29</v>
      </c>
      <c r="B4">
        <f>Meterstanden!K5</f>
        <v>272</v>
      </c>
      <c r="C4">
        <f>Meterstanden!K18</f>
        <v>269</v>
      </c>
      <c r="D4">
        <f>Meterstanden!K31</f>
        <v>274</v>
      </c>
      <c r="E4">
        <f>Meterstanden!K44</f>
        <v>276</v>
      </c>
      <c r="F4">
        <f>Meterstanden!K57</f>
        <v>290</v>
      </c>
      <c r="G4">
        <f>Meterstanden!K70</f>
        <v>303</v>
      </c>
      <c r="H4">
        <f>Meterstanden!K83</f>
        <v>373</v>
      </c>
      <c r="I4">
        <v>363</v>
      </c>
      <c r="J4">
        <f>Meterstanden!K109</f>
        <v>373</v>
      </c>
      <c r="K4" s="59">
        <f>Meterstanden!K122</f>
        <v>298</v>
      </c>
      <c r="L4">
        <f>Meterstanden!K135</f>
        <v>241</v>
      </c>
    </row>
    <row r="5" spans="1:12" x14ac:dyDescent="0.3">
      <c r="A5" s="46" t="s">
        <v>30</v>
      </c>
      <c r="B5">
        <f>Meterstanden!K6</f>
        <v>355</v>
      </c>
      <c r="C5">
        <f>Meterstanden!K19</f>
        <v>302</v>
      </c>
      <c r="D5">
        <f>Meterstanden!K32</f>
        <v>268</v>
      </c>
      <c r="E5">
        <f>Meterstanden!K45</f>
        <v>273</v>
      </c>
      <c r="F5">
        <f>Meterstanden!K58</f>
        <v>317</v>
      </c>
      <c r="G5">
        <f>Meterstanden!K71</f>
        <v>336</v>
      </c>
      <c r="H5">
        <f>Meterstanden!K84</f>
        <v>314</v>
      </c>
      <c r="I5">
        <v>363</v>
      </c>
      <c r="J5">
        <f>Meterstanden!K110</f>
        <v>317</v>
      </c>
      <c r="K5" s="59">
        <f>Meterstanden!K123</f>
        <v>319</v>
      </c>
      <c r="L5">
        <f>Meterstanden!K136</f>
        <v>208</v>
      </c>
    </row>
    <row r="6" spans="1:12" x14ac:dyDescent="0.3">
      <c r="A6" s="46" t="s">
        <v>31</v>
      </c>
      <c r="B6">
        <f>Meterstanden!K7</f>
        <v>184</v>
      </c>
      <c r="C6">
        <f>Meterstanden!K20</f>
        <v>272</v>
      </c>
      <c r="D6">
        <f>Meterstanden!K33</f>
        <v>265</v>
      </c>
      <c r="E6">
        <f>Meterstanden!K46</f>
        <v>256</v>
      </c>
      <c r="F6">
        <f>Meterstanden!K59</f>
        <v>254</v>
      </c>
      <c r="G6">
        <f>Meterstanden!K72</f>
        <v>260</v>
      </c>
      <c r="H6">
        <f>Meterstanden!K85</f>
        <v>243</v>
      </c>
      <c r="I6">
        <v>363</v>
      </c>
      <c r="J6">
        <f>Meterstanden!K111</f>
        <v>341</v>
      </c>
      <c r="K6" s="59">
        <f>Meterstanden!K124</f>
        <v>261</v>
      </c>
      <c r="L6">
        <f>Meterstanden!K137</f>
        <v>137</v>
      </c>
    </row>
    <row r="7" spans="1:12" x14ac:dyDescent="0.3">
      <c r="A7" s="46" t="s">
        <v>32</v>
      </c>
      <c r="B7">
        <f>Meterstanden!K8</f>
        <v>282</v>
      </c>
      <c r="C7">
        <f>Meterstanden!K21</f>
        <v>305</v>
      </c>
      <c r="D7">
        <f>Meterstanden!K34</f>
        <v>271</v>
      </c>
      <c r="E7">
        <f>Meterstanden!K47</f>
        <v>247</v>
      </c>
      <c r="F7">
        <f>Meterstanden!K60</f>
        <v>236</v>
      </c>
      <c r="G7">
        <f>Meterstanden!K73</f>
        <v>240</v>
      </c>
      <c r="H7">
        <f>Meterstanden!K86</f>
        <v>250</v>
      </c>
      <c r="I7">
        <v>363</v>
      </c>
      <c r="J7">
        <f>Meterstanden!K112</f>
        <v>234</v>
      </c>
      <c r="K7" s="59">
        <f>Meterstanden!K125</f>
        <v>214</v>
      </c>
      <c r="L7">
        <f>Meterstanden!K138</f>
        <v>100</v>
      </c>
    </row>
    <row r="8" spans="1:12" ht="15" thickBot="1" x14ac:dyDescent="0.35">
      <c r="A8" s="46" t="s">
        <v>33</v>
      </c>
      <c r="B8">
        <f>Meterstanden!K9</f>
        <v>282</v>
      </c>
      <c r="C8">
        <f>Meterstanden!K22</f>
        <v>290</v>
      </c>
      <c r="D8">
        <f>Meterstanden!K35</f>
        <v>260</v>
      </c>
      <c r="E8">
        <f>Meterstanden!K48</f>
        <v>111</v>
      </c>
      <c r="F8">
        <f>Meterstanden!K61</f>
        <v>258</v>
      </c>
      <c r="G8">
        <f>Meterstanden!K74</f>
        <v>241</v>
      </c>
      <c r="H8">
        <f>Meterstanden!K87</f>
        <v>232</v>
      </c>
      <c r="I8">
        <f>Meterstanden!K100</f>
        <v>230</v>
      </c>
      <c r="J8">
        <f>Meterstanden!K113</f>
        <v>266</v>
      </c>
      <c r="K8" s="62">
        <f>Meterstanden!K126</f>
        <v>147</v>
      </c>
      <c r="L8">
        <f>Meterstanden!K139</f>
        <v>100</v>
      </c>
    </row>
    <row r="9" spans="1:12" x14ac:dyDescent="0.3">
      <c r="A9" s="46" t="s">
        <v>34</v>
      </c>
      <c r="B9">
        <f>Meterstanden!K10</f>
        <v>282</v>
      </c>
      <c r="C9">
        <f>Meterstanden!K23</f>
        <v>209</v>
      </c>
      <c r="D9">
        <f>Meterstanden!K36</f>
        <v>254</v>
      </c>
      <c r="E9">
        <f>Meterstanden!K49</f>
        <v>216</v>
      </c>
      <c r="F9">
        <f>Meterstanden!K62</f>
        <v>218</v>
      </c>
      <c r="G9">
        <f>Meterstanden!K75</f>
        <v>258</v>
      </c>
      <c r="H9">
        <f>Meterstanden!K88</f>
        <v>239</v>
      </c>
      <c r="I9">
        <f>Meterstanden!K101</f>
        <v>211</v>
      </c>
      <c r="J9">
        <f>Meterstanden!K114</f>
        <v>235</v>
      </c>
      <c r="K9" s="60">
        <f>Meterstanden!K127</f>
        <v>64</v>
      </c>
      <c r="L9">
        <f>Meterstanden!K140</f>
        <v>96</v>
      </c>
    </row>
    <row r="10" spans="1:12" x14ac:dyDescent="0.3">
      <c r="A10" s="46" t="s">
        <v>35</v>
      </c>
      <c r="B10">
        <f>Meterstanden!K11</f>
        <v>304</v>
      </c>
      <c r="C10">
        <f>Meterstanden!K24</f>
        <v>293</v>
      </c>
      <c r="D10">
        <f>Meterstanden!K37</f>
        <v>305</v>
      </c>
      <c r="E10">
        <f>Meterstanden!K50</f>
        <v>228</v>
      </c>
      <c r="F10">
        <f>Meterstanden!K63</f>
        <v>220</v>
      </c>
      <c r="G10">
        <f>Meterstanden!K76</f>
        <v>224</v>
      </c>
      <c r="H10">
        <f>Meterstanden!K89</f>
        <v>258</v>
      </c>
      <c r="I10">
        <f>Meterstanden!K102</f>
        <v>241</v>
      </c>
      <c r="J10">
        <f>Meterstanden!K115</f>
        <v>226</v>
      </c>
      <c r="K10" s="61">
        <f>Meterstanden!K128</f>
        <v>114</v>
      </c>
      <c r="L10">
        <f>Meterstanden!K141</f>
        <v>97</v>
      </c>
    </row>
    <row r="11" spans="1:12" x14ac:dyDescent="0.3">
      <c r="A11" s="46" t="s">
        <v>36</v>
      </c>
      <c r="B11">
        <f>Meterstanden!K12</f>
        <v>273</v>
      </c>
      <c r="C11">
        <f>Meterstanden!K25</f>
        <v>293</v>
      </c>
      <c r="D11">
        <f>Meterstanden!K38</f>
        <v>280</v>
      </c>
      <c r="E11">
        <f>Meterstanden!K51</f>
        <v>230</v>
      </c>
      <c r="F11">
        <f>Meterstanden!K64</f>
        <v>266</v>
      </c>
      <c r="G11">
        <f>Meterstanden!K77</f>
        <v>225</v>
      </c>
      <c r="H11">
        <f>Meterstanden!K90</f>
        <v>231</v>
      </c>
      <c r="I11">
        <f>Meterstanden!K103</f>
        <v>254</v>
      </c>
      <c r="J11">
        <f>Meterstanden!K116</f>
        <v>219</v>
      </c>
      <c r="K11" s="61">
        <f>Meterstanden!K129</f>
        <v>120</v>
      </c>
      <c r="L11">
        <f>Meterstanden!K142</f>
        <v>124</v>
      </c>
    </row>
    <row r="12" spans="1:12" x14ac:dyDescent="0.3">
      <c r="A12" s="46" t="s">
        <v>37</v>
      </c>
      <c r="B12">
        <f>Meterstanden!K13</f>
        <v>304</v>
      </c>
      <c r="C12">
        <f>Meterstanden!K26</f>
        <v>304</v>
      </c>
      <c r="D12">
        <f>Meterstanden!K39</f>
        <v>275</v>
      </c>
      <c r="E12">
        <f>Meterstanden!K52</f>
        <v>238</v>
      </c>
      <c r="F12">
        <f>Meterstanden!K65</f>
        <v>269</v>
      </c>
      <c r="G12">
        <f>Meterstanden!K78</f>
        <v>251</v>
      </c>
      <c r="H12">
        <f>Meterstanden!K91</f>
        <v>316</v>
      </c>
      <c r="I12">
        <f>Meterstanden!K104</f>
        <v>336</v>
      </c>
      <c r="J12">
        <f>Meterstanden!K117</f>
        <v>264</v>
      </c>
      <c r="K12" s="61">
        <f>Meterstanden!K130</f>
        <v>200</v>
      </c>
      <c r="L12">
        <f>Meterstanden!K143</f>
        <v>159</v>
      </c>
    </row>
    <row r="13" spans="1:12" x14ac:dyDescent="0.3">
      <c r="A13" s="46" t="s">
        <v>38</v>
      </c>
      <c r="B13">
        <f>Meterstanden!K14</f>
        <v>355</v>
      </c>
      <c r="C13">
        <f>Meterstanden!K27</f>
        <v>303</v>
      </c>
      <c r="D13">
        <f>Meterstanden!K40</f>
        <v>283</v>
      </c>
      <c r="E13">
        <f>Meterstanden!K53</f>
        <v>248</v>
      </c>
      <c r="F13">
        <f>Meterstanden!K66</f>
        <v>331</v>
      </c>
      <c r="G13">
        <f>Meterstanden!K79</f>
        <v>324</v>
      </c>
      <c r="H13">
        <f>Meterstanden!K92</f>
        <v>359</v>
      </c>
      <c r="I13">
        <f>Meterstanden!K105</f>
        <v>374</v>
      </c>
      <c r="J13">
        <f>Meterstanden!K118</f>
        <v>287</v>
      </c>
      <c r="K13" s="61">
        <f>Meterstanden!K131</f>
        <v>271</v>
      </c>
      <c r="L13">
        <f>Meterstanden!K144</f>
        <v>250</v>
      </c>
    </row>
    <row r="14" spans="1:12" x14ac:dyDescent="0.3">
      <c r="A14" s="46" t="s">
        <v>39</v>
      </c>
      <c r="B14">
        <f>Meterstanden!K15</f>
        <v>349</v>
      </c>
      <c r="C14">
        <f>Meterstanden!K28</f>
        <v>369</v>
      </c>
      <c r="D14">
        <f>Meterstanden!K41</f>
        <v>317</v>
      </c>
      <c r="E14">
        <f>Meterstanden!K54</f>
        <v>307</v>
      </c>
      <c r="F14">
        <f>Meterstanden!K67</f>
        <v>379</v>
      </c>
      <c r="G14">
        <f>Meterstanden!K80</f>
        <v>412</v>
      </c>
      <c r="H14">
        <f>Meterstanden!K93</f>
        <v>403</v>
      </c>
      <c r="I14">
        <f>Meterstanden!K106</f>
        <v>457</v>
      </c>
      <c r="J14">
        <f>Meterstanden!K119</f>
        <v>340</v>
      </c>
      <c r="K14" s="61">
        <f>Meterstanden!K132</f>
        <v>351</v>
      </c>
      <c r="L14">
        <f>Meterstanden!K145</f>
        <v>335</v>
      </c>
    </row>
    <row r="16" spans="1:12" x14ac:dyDescent="0.3">
      <c r="A16" s="48"/>
      <c r="B16" s="74" t="s">
        <v>40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</row>
    <row r="17" spans="1:12" x14ac:dyDescent="0.3">
      <c r="B17" s="46">
        <v>2014</v>
      </c>
      <c r="C17" s="46">
        <v>2015</v>
      </c>
      <c r="D17" s="46">
        <v>2016</v>
      </c>
      <c r="E17" s="46">
        <v>2017</v>
      </c>
      <c r="F17" s="46">
        <v>2018</v>
      </c>
      <c r="G17" s="46">
        <v>2019</v>
      </c>
      <c r="H17" s="46">
        <v>2020</v>
      </c>
      <c r="I17" s="46">
        <v>2021</v>
      </c>
      <c r="J17" s="46">
        <v>2022</v>
      </c>
      <c r="K17" s="46">
        <v>2023</v>
      </c>
      <c r="L17" s="46">
        <v>2024</v>
      </c>
    </row>
    <row r="18" spans="1:12" x14ac:dyDescent="0.3">
      <c r="A18" s="46" t="s">
        <v>28</v>
      </c>
      <c r="B18">
        <f>Meterstanden!N4</f>
        <v>226</v>
      </c>
      <c r="C18">
        <f>Meterstanden!N17</f>
        <v>288</v>
      </c>
      <c r="D18">
        <f>Meterstanden!N30</f>
        <v>220</v>
      </c>
      <c r="E18">
        <f>Meterstanden!N43</f>
        <v>243</v>
      </c>
      <c r="F18">
        <f>Meterstanden!N43</f>
        <v>243</v>
      </c>
      <c r="G18">
        <f>Meterstanden!N69</f>
        <v>263</v>
      </c>
      <c r="H18">
        <f>Meterstanden!N82</f>
        <v>195</v>
      </c>
      <c r="I18" s="45">
        <v>115</v>
      </c>
      <c r="J18">
        <f>Meterstanden!N108</f>
        <v>116</v>
      </c>
      <c r="K18">
        <f>Meterstanden!N121</f>
        <v>65</v>
      </c>
      <c r="L18">
        <f>Meterstanden!N134</f>
        <v>90</v>
      </c>
    </row>
    <row r="19" spans="1:12" x14ac:dyDescent="0.3">
      <c r="A19" s="46" t="s">
        <v>29</v>
      </c>
      <c r="B19">
        <f>Meterstanden!N5</f>
        <v>161</v>
      </c>
      <c r="C19">
        <f>Meterstanden!N18</f>
        <v>194</v>
      </c>
      <c r="D19">
        <f>Meterstanden!N31</f>
        <v>192</v>
      </c>
      <c r="E19">
        <f>Meterstanden!N44</f>
        <v>190</v>
      </c>
      <c r="F19">
        <f>Meterstanden!N44</f>
        <v>190</v>
      </c>
      <c r="G19">
        <f>Meterstanden!N70</f>
        <v>163</v>
      </c>
      <c r="H19">
        <f>Meterstanden!N83</f>
        <v>218</v>
      </c>
      <c r="I19" s="45">
        <v>115</v>
      </c>
      <c r="J19">
        <f>Meterstanden!N109</f>
        <v>122</v>
      </c>
      <c r="K19">
        <f>Meterstanden!N122</f>
        <v>48</v>
      </c>
      <c r="L19">
        <f>Meterstanden!N135</f>
        <v>47</v>
      </c>
    </row>
    <row r="20" spans="1:12" x14ac:dyDescent="0.3">
      <c r="A20" s="46" t="s">
        <v>30</v>
      </c>
      <c r="B20">
        <f>Meterstanden!N6</f>
        <v>117</v>
      </c>
      <c r="C20">
        <f>Meterstanden!N19</f>
        <v>199</v>
      </c>
      <c r="D20">
        <f>Meterstanden!N32</f>
        <v>175</v>
      </c>
      <c r="E20">
        <f>Meterstanden!N45</f>
        <v>160</v>
      </c>
      <c r="F20">
        <f>Meterstanden!N45</f>
        <v>160</v>
      </c>
      <c r="G20">
        <f>Meterstanden!N71</f>
        <v>150</v>
      </c>
      <c r="H20">
        <f>Meterstanden!N84</f>
        <v>110</v>
      </c>
      <c r="I20" s="45">
        <v>115</v>
      </c>
      <c r="J20">
        <f>Meterstanden!N110</f>
        <v>96</v>
      </c>
      <c r="K20">
        <f>Meterstanden!N123</f>
        <v>67</v>
      </c>
      <c r="L20">
        <f>Meterstanden!N136</f>
        <v>44</v>
      </c>
    </row>
    <row r="21" spans="1:12" x14ac:dyDescent="0.3">
      <c r="A21" s="46" t="s">
        <v>31</v>
      </c>
      <c r="B21">
        <f>Meterstanden!N7</f>
        <v>47</v>
      </c>
      <c r="C21">
        <f>Meterstanden!N20</f>
        <v>81</v>
      </c>
      <c r="D21">
        <f>Meterstanden!N33</f>
        <v>117</v>
      </c>
      <c r="E21">
        <f>Meterstanden!N46</f>
        <v>134</v>
      </c>
      <c r="F21">
        <f>Meterstanden!N46</f>
        <v>134</v>
      </c>
      <c r="G21">
        <f>Meterstanden!N72</f>
        <v>98</v>
      </c>
      <c r="H21">
        <f>Meterstanden!N85</f>
        <v>73</v>
      </c>
      <c r="I21" s="45">
        <v>114</v>
      </c>
      <c r="J21">
        <f>Meterstanden!N111</f>
        <v>66</v>
      </c>
      <c r="K21">
        <f>Meterstanden!N124</f>
        <v>46</v>
      </c>
      <c r="L21">
        <f>Meterstanden!N137</f>
        <v>26</v>
      </c>
    </row>
    <row r="22" spans="1:12" x14ac:dyDescent="0.3">
      <c r="A22" s="46" t="s">
        <v>32</v>
      </c>
      <c r="B22">
        <f>Meterstanden!N8</f>
        <v>38</v>
      </c>
      <c r="C22">
        <f>Meterstanden!N21</f>
        <v>50</v>
      </c>
      <c r="D22">
        <f>Meterstanden!N34</f>
        <v>48</v>
      </c>
      <c r="E22">
        <f>Meterstanden!N47</f>
        <v>46</v>
      </c>
      <c r="F22">
        <f>Meterstanden!N47</f>
        <v>46</v>
      </c>
      <c r="G22">
        <f>Meterstanden!N73</f>
        <v>51</v>
      </c>
      <c r="H22">
        <f>Meterstanden!N86</f>
        <v>46</v>
      </c>
      <c r="I22" s="45">
        <v>114</v>
      </c>
      <c r="J22">
        <f>Meterstanden!N112</f>
        <v>19</v>
      </c>
      <c r="K22">
        <f>Meterstanden!N125</f>
        <v>14</v>
      </c>
      <c r="L22">
        <f>Meterstanden!N138</f>
        <v>9</v>
      </c>
    </row>
    <row r="23" spans="1:12" x14ac:dyDescent="0.3">
      <c r="A23" s="46" t="s">
        <v>33</v>
      </c>
      <c r="B23">
        <f>Meterstanden!N9</f>
        <v>35</v>
      </c>
      <c r="C23">
        <f>Meterstanden!N22</f>
        <v>32</v>
      </c>
      <c r="D23">
        <f>Meterstanden!N35</f>
        <v>34</v>
      </c>
      <c r="E23">
        <f>Meterstanden!N48</f>
        <v>8</v>
      </c>
      <c r="F23">
        <f>Meterstanden!N48</f>
        <v>8</v>
      </c>
      <c r="G23">
        <f>Meterstanden!N74</f>
        <v>52</v>
      </c>
      <c r="H23">
        <f>Meterstanden!N87</f>
        <v>23</v>
      </c>
      <c r="I23">
        <f>Meterstanden!N100</f>
        <v>1</v>
      </c>
      <c r="J23">
        <f>Meterstanden!N113</f>
        <v>10</v>
      </c>
      <c r="K23">
        <f>Meterstanden!N126</f>
        <v>6</v>
      </c>
      <c r="L23">
        <f>Meterstanden!N139</f>
        <v>9</v>
      </c>
    </row>
    <row r="24" spans="1:12" x14ac:dyDescent="0.3">
      <c r="A24" s="46" t="s">
        <v>34</v>
      </c>
      <c r="B24">
        <f>Meterstanden!N10</f>
        <v>28</v>
      </c>
      <c r="C24">
        <f>Meterstanden!N23</f>
        <v>18</v>
      </c>
      <c r="D24">
        <f>Meterstanden!N36</f>
        <v>25</v>
      </c>
      <c r="E24">
        <f>Meterstanden!N49</f>
        <v>12</v>
      </c>
      <c r="F24">
        <f>Meterstanden!N49</f>
        <v>12</v>
      </c>
      <c r="G24">
        <f>Meterstanden!N75</f>
        <v>21</v>
      </c>
      <c r="H24">
        <f>Meterstanden!N88</f>
        <v>23</v>
      </c>
      <c r="I24">
        <f>Meterstanden!N101</f>
        <v>34</v>
      </c>
      <c r="J24">
        <f>Meterstanden!N114</f>
        <v>10</v>
      </c>
      <c r="K24">
        <f>Meterstanden!N127</f>
        <v>5</v>
      </c>
      <c r="L24">
        <f>Meterstanden!N140</f>
        <v>9</v>
      </c>
    </row>
    <row r="25" spans="1:12" x14ac:dyDescent="0.3">
      <c r="A25" s="46" t="s">
        <v>35</v>
      </c>
      <c r="B25">
        <f>Meterstanden!N11</f>
        <v>26</v>
      </c>
      <c r="C25">
        <f>Meterstanden!N24</f>
        <v>36</v>
      </c>
      <c r="D25">
        <f>Meterstanden!N37</f>
        <v>34</v>
      </c>
      <c r="E25">
        <f>Meterstanden!N50</f>
        <v>14</v>
      </c>
      <c r="F25">
        <f>Meterstanden!N50</f>
        <v>14</v>
      </c>
      <c r="G25">
        <f>Meterstanden!N76</f>
        <v>31</v>
      </c>
      <c r="H25">
        <f>Meterstanden!N89</f>
        <v>27</v>
      </c>
      <c r="I25">
        <f>Meterstanden!N102</f>
        <v>17</v>
      </c>
      <c r="J25">
        <f>Meterstanden!N115</f>
        <v>14</v>
      </c>
      <c r="K25">
        <f>Meterstanden!N128</f>
        <v>11</v>
      </c>
      <c r="L25">
        <f>Meterstanden!N141</f>
        <v>8</v>
      </c>
    </row>
    <row r="26" spans="1:12" x14ac:dyDescent="0.3">
      <c r="A26" s="46" t="s">
        <v>36</v>
      </c>
      <c r="B26">
        <f>Meterstanden!N12</f>
        <v>27</v>
      </c>
      <c r="C26">
        <f>Meterstanden!N25</f>
        <v>37</v>
      </c>
      <c r="D26">
        <f>Meterstanden!N38</f>
        <v>29</v>
      </c>
      <c r="E26">
        <f>Meterstanden!N51</f>
        <v>43</v>
      </c>
      <c r="F26">
        <f>Meterstanden!N51</f>
        <v>43</v>
      </c>
      <c r="G26">
        <f>Meterstanden!N77</f>
        <v>32</v>
      </c>
      <c r="H26">
        <f>Meterstanden!N90</f>
        <v>58</v>
      </c>
      <c r="I26">
        <f>Meterstanden!N103</f>
        <v>20</v>
      </c>
      <c r="J26">
        <f>Meterstanden!N116</f>
        <v>11</v>
      </c>
      <c r="K26">
        <f>Meterstanden!N129</f>
        <v>9</v>
      </c>
      <c r="L26">
        <f>Meterstanden!N142</f>
        <v>8</v>
      </c>
    </row>
    <row r="27" spans="1:12" x14ac:dyDescent="0.3">
      <c r="A27" s="46" t="s">
        <v>37</v>
      </c>
      <c r="B27">
        <f>Meterstanden!N13</f>
        <v>46</v>
      </c>
      <c r="C27">
        <f>Meterstanden!N26</f>
        <v>88</v>
      </c>
      <c r="D27">
        <f>Meterstanden!N39</f>
        <v>105</v>
      </c>
      <c r="E27">
        <f>Meterstanden!N52</f>
        <v>108</v>
      </c>
      <c r="F27">
        <f>Meterstanden!N52</f>
        <v>108</v>
      </c>
      <c r="G27">
        <f>Meterstanden!N78</f>
        <v>106</v>
      </c>
      <c r="H27">
        <f>Meterstanden!N91</f>
        <v>124</v>
      </c>
      <c r="I27">
        <f>Meterstanden!N104</f>
        <v>66</v>
      </c>
      <c r="J27">
        <f>Meterstanden!N117</f>
        <v>12</v>
      </c>
      <c r="K27">
        <f>Meterstanden!N130</f>
        <v>14</v>
      </c>
      <c r="L27">
        <f>Meterstanden!N143</f>
        <v>29</v>
      </c>
    </row>
    <row r="28" spans="1:12" x14ac:dyDescent="0.3">
      <c r="A28" s="46" t="s">
        <v>38</v>
      </c>
      <c r="B28">
        <f>Meterstanden!N14</f>
        <v>199</v>
      </c>
      <c r="C28">
        <f>Meterstanden!N27</f>
        <v>95</v>
      </c>
      <c r="D28">
        <f>Meterstanden!N40</f>
        <v>155</v>
      </c>
      <c r="E28">
        <f>Meterstanden!N53</f>
        <v>185</v>
      </c>
      <c r="F28">
        <f>Meterstanden!N53</f>
        <v>185</v>
      </c>
      <c r="G28">
        <f>Meterstanden!N79</f>
        <v>167</v>
      </c>
      <c r="H28">
        <f>Meterstanden!N92</f>
        <v>167</v>
      </c>
      <c r="I28">
        <f>Meterstanden!N105</f>
        <v>125</v>
      </c>
      <c r="J28">
        <f>Meterstanden!N118</f>
        <v>21</v>
      </c>
      <c r="K28">
        <f>Meterstanden!N131</f>
        <v>42</v>
      </c>
      <c r="L28">
        <f>Meterstanden!N144</f>
        <v>92</v>
      </c>
    </row>
    <row r="29" spans="1:12" x14ac:dyDescent="0.3">
      <c r="A29" s="46" t="s">
        <v>39</v>
      </c>
      <c r="B29">
        <f>Meterstanden!N15</f>
        <v>140</v>
      </c>
      <c r="C29">
        <f>Meterstanden!N28</f>
        <v>107</v>
      </c>
      <c r="D29">
        <f>Meterstanden!N41</f>
        <v>160</v>
      </c>
      <c r="E29">
        <f>Meterstanden!N54</f>
        <v>192</v>
      </c>
      <c r="F29">
        <f>Meterstanden!N54</f>
        <v>192</v>
      </c>
      <c r="G29">
        <f>Meterstanden!N80</f>
        <v>182</v>
      </c>
      <c r="H29">
        <f>Meterstanden!N93</f>
        <v>202</v>
      </c>
      <c r="I29">
        <f>Meterstanden!N106</f>
        <v>152</v>
      </c>
      <c r="J29">
        <f>Meterstanden!N119</f>
        <v>60</v>
      </c>
      <c r="K29">
        <f>Meterstanden!N132</f>
        <v>67</v>
      </c>
      <c r="L29">
        <f>Meterstanden!N145</f>
        <v>115</v>
      </c>
    </row>
    <row r="31" spans="1:12" x14ac:dyDescent="0.3">
      <c r="A31" s="47"/>
      <c r="B31" s="76" t="s">
        <v>8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</row>
    <row r="32" spans="1:12" x14ac:dyDescent="0.3">
      <c r="B32" s="46">
        <v>2014</v>
      </c>
      <c r="C32" s="46">
        <v>2015</v>
      </c>
      <c r="D32" s="46">
        <v>2016</v>
      </c>
      <c r="E32" s="46">
        <v>2017</v>
      </c>
      <c r="F32" s="46">
        <v>2018</v>
      </c>
      <c r="G32" s="46">
        <v>2019</v>
      </c>
      <c r="H32" s="46">
        <v>2020</v>
      </c>
      <c r="I32" s="46">
        <v>2021</v>
      </c>
      <c r="J32" s="46">
        <v>2022</v>
      </c>
      <c r="K32" s="46">
        <v>2023</v>
      </c>
      <c r="L32" s="46">
        <v>2024</v>
      </c>
    </row>
    <row r="33" spans="1:12" x14ac:dyDescent="0.3">
      <c r="A33" s="46" t="s">
        <v>28</v>
      </c>
      <c r="B33">
        <f>Meterstanden!O4</f>
        <v>11</v>
      </c>
      <c r="C33">
        <f>Meterstanden!O17</f>
        <v>12</v>
      </c>
      <c r="D33">
        <f>Meterstanden!O30</f>
        <v>14</v>
      </c>
      <c r="E33">
        <f>Meterstanden!O43</f>
        <v>13</v>
      </c>
      <c r="F33">
        <f>Meterstanden!O43</f>
        <v>13</v>
      </c>
      <c r="G33">
        <f>Meterstanden!O69</f>
        <v>8</v>
      </c>
      <c r="H33">
        <f>Meterstanden!O82</f>
        <v>8</v>
      </c>
      <c r="I33">
        <f>Meterstanden!O95</f>
        <v>9</v>
      </c>
      <c r="J33">
        <f>Meterstanden!O108</f>
        <v>9</v>
      </c>
      <c r="K33">
        <f>Meterstanden!O121</f>
        <v>6</v>
      </c>
      <c r="L33">
        <f>Meterstanden!O134</f>
        <v>6</v>
      </c>
    </row>
    <row r="34" spans="1:12" x14ac:dyDescent="0.3">
      <c r="A34" s="46" t="s">
        <v>29</v>
      </c>
      <c r="B34">
        <f>Meterstanden!O5</f>
        <v>13</v>
      </c>
      <c r="C34">
        <f>Meterstanden!O18</f>
        <v>10</v>
      </c>
      <c r="D34">
        <f>Meterstanden!O31</f>
        <v>13</v>
      </c>
      <c r="E34">
        <f>Meterstanden!O44</f>
        <v>12</v>
      </c>
      <c r="F34">
        <f>Meterstanden!O44</f>
        <v>12</v>
      </c>
      <c r="G34">
        <f>Meterstanden!O70</f>
        <v>7</v>
      </c>
      <c r="H34">
        <f>Meterstanden!O83</f>
        <v>9</v>
      </c>
      <c r="I34">
        <f>Meterstanden!O96</f>
        <v>9</v>
      </c>
      <c r="J34">
        <f>Meterstanden!O109</f>
        <v>9</v>
      </c>
      <c r="K34">
        <f>Meterstanden!O122</f>
        <v>5</v>
      </c>
      <c r="L34">
        <f>Meterstanden!O135</f>
        <v>6</v>
      </c>
    </row>
    <row r="35" spans="1:12" x14ac:dyDescent="0.3">
      <c r="A35" s="46" t="s">
        <v>30</v>
      </c>
      <c r="B35">
        <f>Meterstanden!O6</f>
        <v>11</v>
      </c>
      <c r="C35">
        <f>Meterstanden!O19</f>
        <v>11</v>
      </c>
      <c r="D35">
        <f>Meterstanden!O32</f>
        <v>13</v>
      </c>
      <c r="E35">
        <f>Meterstanden!O45</f>
        <v>14</v>
      </c>
      <c r="F35">
        <f>Meterstanden!O45</f>
        <v>14</v>
      </c>
      <c r="G35">
        <f>Meterstanden!O71</f>
        <v>11</v>
      </c>
      <c r="H35">
        <f>Meterstanden!O84</f>
        <v>10</v>
      </c>
      <c r="I35">
        <f>Meterstanden!O97</f>
        <v>9</v>
      </c>
      <c r="J35">
        <f>Meterstanden!O110</f>
        <v>7</v>
      </c>
      <c r="K35">
        <f>Meterstanden!O123</f>
        <v>6</v>
      </c>
      <c r="L35">
        <f>Meterstanden!O136</f>
        <v>6</v>
      </c>
    </row>
    <row r="36" spans="1:12" x14ac:dyDescent="0.3">
      <c r="A36" s="46" t="s">
        <v>31</v>
      </c>
      <c r="B36">
        <f>Meterstanden!O7</f>
        <v>13</v>
      </c>
      <c r="C36">
        <f>Meterstanden!O20</f>
        <v>10</v>
      </c>
      <c r="D36">
        <f>Meterstanden!O33</f>
        <v>14</v>
      </c>
      <c r="E36">
        <f>Meterstanden!O46</f>
        <v>13</v>
      </c>
      <c r="F36">
        <f>Meterstanden!O46</f>
        <v>13</v>
      </c>
      <c r="G36">
        <f>Meterstanden!O72</f>
        <v>8</v>
      </c>
      <c r="H36">
        <f>Meterstanden!O85</f>
        <v>10</v>
      </c>
      <c r="I36">
        <f>Meterstanden!O98</f>
        <v>9</v>
      </c>
      <c r="J36">
        <f>Meterstanden!O111</f>
        <v>8</v>
      </c>
      <c r="K36">
        <f>Meterstanden!O124</f>
        <v>6</v>
      </c>
      <c r="L36">
        <f>Meterstanden!O137</f>
        <v>7</v>
      </c>
    </row>
    <row r="37" spans="1:12" x14ac:dyDescent="0.3">
      <c r="A37" s="46" t="s">
        <v>32</v>
      </c>
      <c r="B37">
        <f>Meterstanden!O8</f>
        <v>14</v>
      </c>
      <c r="C37">
        <f>Meterstanden!O21</f>
        <v>12</v>
      </c>
      <c r="D37">
        <f>Meterstanden!O34</f>
        <v>14</v>
      </c>
      <c r="E37">
        <f>Meterstanden!O47</f>
        <v>9</v>
      </c>
      <c r="F37">
        <f>Meterstanden!O47</f>
        <v>9</v>
      </c>
      <c r="G37">
        <f>Meterstanden!O73</f>
        <v>7</v>
      </c>
      <c r="H37">
        <f>Meterstanden!O86</f>
        <v>8</v>
      </c>
      <c r="I37">
        <f>Meterstanden!O99</f>
        <v>11</v>
      </c>
      <c r="J37">
        <f>Meterstanden!O112</f>
        <v>10</v>
      </c>
      <c r="K37">
        <f>Meterstanden!O125</f>
        <v>6</v>
      </c>
      <c r="L37">
        <f>Meterstanden!O138</f>
        <v>5</v>
      </c>
    </row>
    <row r="38" spans="1:12" x14ac:dyDescent="0.3">
      <c r="A38" s="46" t="s">
        <v>33</v>
      </c>
      <c r="B38">
        <f>Meterstanden!O9</f>
        <v>14</v>
      </c>
      <c r="C38">
        <f>Meterstanden!O22</f>
        <v>12</v>
      </c>
      <c r="D38">
        <f>Meterstanden!O35</f>
        <v>13</v>
      </c>
      <c r="E38">
        <f>Meterstanden!O48</f>
        <v>7</v>
      </c>
      <c r="F38">
        <f>Meterstanden!O48</f>
        <v>7</v>
      </c>
      <c r="G38">
        <f>Meterstanden!O74</f>
        <v>8</v>
      </c>
      <c r="H38">
        <f>Meterstanden!O87</f>
        <v>9</v>
      </c>
      <c r="I38">
        <f>Meterstanden!O100</f>
        <v>9</v>
      </c>
      <c r="J38">
        <f>Meterstanden!O113</f>
        <v>6</v>
      </c>
      <c r="K38">
        <f>Meterstanden!O126</f>
        <v>6</v>
      </c>
      <c r="L38">
        <f>Meterstanden!O139</f>
        <v>6</v>
      </c>
    </row>
    <row r="39" spans="1:12" x14ac:dyDescent="0.3">
      <c r="A39" s="46" t="s">
        <v>34</v>
      </c>
      <c r="B39">
        <f>Meterstanden!O10</f>
        <v>12</v>
      </c>
      <c r="C39">
        <f>Meterstanden!O23</f>
        <v>8</v>
      </c>
      <c r="D39">
        <f>Meterstanden!O36</f>
        <v>12</v>
      </c>
      <c r="E39">
        <f>Meterstanden!O49</f>
        <v>7</v>
      </c>
      <c r="F39">
        <f>Meterstanden!O49</f>
        <v>7</v>
      </c>
      <c r="G39">
        <f>Meterstanden!O75</f>
        <v>8</v>
      </c>
      <c r="H39">
        <f>Meterstanden!O88</f>
        <v>10</v>
      </c>
      <c r="I39">
        <f>Meterstanden!O101</f>
        <v>9</v>
      </c>
      <c r="J39">
        <f>Meterstanden!O114</f>
        <v>8</v>
      </c>
      <c r="K39">
        <f>Meterstanden!O127</f>
        <v>3</v>
      </c>
      <c r="L39">
        <f>Meterstanden!O140</f>
        <v>5</v>
      </c>
    </row>
    <row r="40" spans="1:12" x14ac:dyDescent="0.3">
      <c r="A40" s="46" t="s">
        <v>35</v>
      </c>
      <c r="B40">
        <f>Meterstanden!O11</f>
        <v>11</v>
      </c>
      <c r="C40">
        <f>Meterstanden!O24</f>
        <v>12</v>
      </c>
      <c r="D40">
        <f>Meterstanden!O37</f>
        <v>17</v>
      </c>
      <c r="E40">
        <f>Meterstanden!O50</f>
        <v>7</v>
      </c>
      <c r="F40">
        <f>Meterstanden!O50</f>
        <v>7</v>
      </c>
      <c r="G40">
        <f>Meterstanden!O76</f>
        <v>6</v>
      </c>
      <c r="H40">
        <f>Meterstanden!O89</f>
        <v>11</v>
      </c>
      <c r="I40">
        <f>Meterstanden!O102</f>
        <v>8</v>
      </c>
      <c r="J40">
        <f>Meterstanden!O115</f>
        <v>9</v>
      </c>
      <c r="K40">
        <f>Meterstanden!O128</f>
        <v>7</v>
      </c>
      <c r="L40">
        <f>Meterstanden!O141</f>
        <v>6</v>
      </c>
    </row>
    <row r="41" spans="1:12" x14ac:dyDescent="0.3">
      <c r="A41" s="46" t="s">
        <v>36</v>
      </c>
      <c r="B41">
        <f>Meterstanden!O12</f>
        <v>10</v>
      </c>
      <c r="C41">
        <f>Meterstanden!O25</f>
        <v>12</v>
      </c>
      <c r="D41">
        <f>Meterstanden!O38</f>
        <v>12</v>
      </c>
      <c r="E41">
        <f>Meterstanden!O51</f>
        <v>6</v>
      </c>
      <c r="F41">
        <f>Meterstanden!O51</f>
        <v>6</v>
      </c>
      <c r="G41">
        <f>Meterstanden!O77</f>
        <v>7</v>
      </c>
      <c r="H41">
        <f>Meterstanden!O90</f>
        <v>9</v>
      </c>
      <c r="I41">
        <f>Meterstanden!O103</f>
        <v>8</v>
      </c>
      <c r="J41">
        <f>Meterstanden!O116</f>
        <v>6</v>
      </c>
      <c r="K41">
        <f>Meterstanden!O129</f>
        <v>6</v>
      </c>
      <c r="L41">
        <f>Meterstanden!O142</f>
        <v>5</v>
      </c>
    </row>
    <row r="42" spans="1:12" x14ac:dyDescent="0.3">
      <c r="A42" s="46" t="s">
        <v>37</v>
      </c>
      <c r="B42">
        <f>Meterstanden!O13</f>
        <v>12</v>
      </c>
      <c r="C42">
        <f>Meterstanden!O26</f>
        <v>14</v>
      </c>
      <c r="D42">
        <f>Meterstanden!O39</f>
        <v>15</v>
      </c>
      <c r="E42">
        <f>Meterstanden!O52</f>
        <v>8</v>
      </c>
      <c r="F42">
        <f>Meterstanden!O52</f>
        <v>8</v>
      </c>
      <c r="G42">
        <f>Meterstanden!O78</f>
        <v>9</v>
      </c>
      <c r="H42">
        <f>Meterstanden!O91</f>
        <v>9</v>
      </c>
      <c r="I42">
        <f>Meterstanden!O104</f>
        <v>8</v>
      </c>
      <c r="J42">
        <f>Meterstanden!O117</f>
        <v>8</v>
      </c>
      <c r="K42">
        <f>Meterstanden!O130</f>
        <v>6</v>
      </c>
      <c r="L42">
        <f>Meterstanden!O143</f>
        <v>6</v>
      </c>
    </row>
    <row r="43" spans="1:12" x14ac:dyDescent="0.3">
      <c r="A43" s="46" t="s">
        <v>38</v>
      </c>
      <c r="B43">
        <f>Meterstanden!O14</f>
        <v>13</v>
      </c>
      <c r="C43">
        <f>Meterstanden!O27</f>
        <v>13</v>
      </c>
      <c r="D43">
        <f>Meterstanden!O40</f>
        <v>18</v>
      </c>
      <c r="E43">
        <f>Meterstanden!O53</f>
        <v>6</v>
      </c>
      <c r="F43">
        <f>Meterstanden!O53</f>
        <v>6</v>
      </c>
      <c r="G43">
        <f>Meterstanden!O79</f>
        <v>8</v>
      </c>
      <c r="H43">
        <f>Meterstanden!O92</f>
        <v>10</v>
      </c>
      <c r="I43">
        <f>Meterstanden!O105</f>
        <v>9</v>
      </c>
      <c r="J43">
        <f>Meterstanden!O118</f>
        <v>5</v>
      </c>
      <c r="K43">
        <f>Meterstanden!O131</f>
        <v>6</v>
      </c>
      <c r="L43">
        <f>Meterstanden!O144</f>
        <v>6</v>
      </c>
    </row>
    <row r="44" spans="1:12" x14ac:dyDescent="0.3">
      <c r="A44" s="46" t="s">
        <v>39</v>
      </c>
      <c r="B44">
        <f>Meterstanden!O15</f>
        <v>11</v>
      </c>
      <c r="C44">
        <f>Meterstanden!O28</f>
        <v>14</v>
      </c>
      <c r="D44">
        <f>Meterstanden!O41</f>
        <v>16</v>
      </c>
      <c r="E44">
        <f>Meterstanden!O54</f>
        <v>7</v>
      </c>
      <c r="F44">
        <f>Meterstanden!O54</f>
        <v>7</v>
      </c>
      <c r="G44">
        <f>Meterstanden!O80</f>
        <v>10</v>
      </c>
      <c r="H44">
        <f>Meterstanden!O93</f>
        <v>9</v>
      </c>
      <c r="I44">
        <f>Meterstanden!O106</f>
        <v>9</v>
      </c>
      <c r="J44">
        <f>Meterstanden!O119</f>
        <v>7</v>
      </c>
      <c r="K44">
        <f>Meterstanden!O132</f>
        <v>6</v>
      </c>
      <c r="L44">
        <f>Meterstanden!O145</f>
        <v>7</v>
      </c>
    </row>
  </sheetData>
  <mergeCells count="3">
    <mergeCell ref="B16:L16"/>
    <mergeCell ref="B1:L1"/>
    <mergeCell ref="B31:L31"/>
  </mergeCells>
  <phoneticPr fontId="8" type="noConversion"/>
  <conditionalFormatting sqref="B4:K4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K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K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K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K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K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K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K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K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K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K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K1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K2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K2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K2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K2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K2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K2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K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K2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K2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K2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L3 L4:L14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L18 L19:L2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Grafieken</vt:lpstr>
      </vt:variant>
      <vt:variant>
        <vt:i4>3</vt:i4>
      </vt:variant>
    </vt:vector>
  </HeadingPairs>
  <TitlesOfParts>
    <vt:vector size="7" baseType="lpstr">
      <vt:lpstr>Opdracht</vt:lpstr>
      <vt:lpstr>Meterstanden</vt:lpstr>
      <vt:lpstr>Jaarverbuik</vt:lpstr>
      <vt:lpstr>Vergelijking per maand</vt:lpstr>
      <vt:lpstr>Grafiek Elektra</vt:lpstr>
      <vt:lpstr>Grafiek Gas</vt:lpstr>
      <vt:lpstr>Grafiek 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 Kokken</dc:creator>
  <cp:keywords/>
  <dc:description/>
  <cp:lastModifiedBy>Spierings, S.J. (Sytze)</cp:lastModifiedBy>
  <cp:revision/>
  <dcterms:created xsi:type="dcterms:W3CDTF">2012-06-19T17:26:41Z</dcterms:created>
  <dcterms:modified xsi:type="dcterms:W3CDTF">2026-01-06T21:40:38Z</dcterms:modified>
  <cp:category/>
  <cp:contentStatus/>
</cp:coreProperties>
</file>